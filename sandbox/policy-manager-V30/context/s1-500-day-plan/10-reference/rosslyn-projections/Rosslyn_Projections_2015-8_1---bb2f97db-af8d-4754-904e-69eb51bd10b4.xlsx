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ott\Desktop\"/>
    </mc:Choice>
  </mc:AlternateContent>
  <xr:revisionPtr revIDLastSave="0" documentId="8_{0A4C2C6F-5E80-4ADF-A4B2-C361E510F23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iNCOME STMT PROJECTIONS" sheetId="1" r:id="rId1"/>
    <sheet name="Balance Sheet" sheetId="2" r:id="rId2"/>
    <sheet name="with mgmt fee and tw sal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" i="1" l="1"/>
  <c r="L61" i="1"/>
  <c r="J61" i="1"/>
  <c r="F59" i="1"/>
  <c r="J54" i="1"/>
  <c r="K54" i="1" s="1"/>
  <c r="E54" i="1"/>
  <c r="C54" i="1"/>
  <c r="G49" i="1"/>
  <c r="F49" i="1"/>
  <c r="D49" i="1"/>
  <c r="E49" i="1" s="1"/>
  <c r="B49" i="1"/>
  <c r="C49" i="1" s="1"/>
  <c r="E48" i="1"/>
  <c r="C48" i="1"/>
  <c r="I47" i="1"/>
  <c r="H47" i="1"/>
  <c r="H59" i="1" s="1"/>
  <c r="G47" i="1"/>
  <c r="H43" i="1"/>
  <c r="I43" i="1" s="1"/>
  <c r="G43" i="1"/>
  <c r="F43" i="1"/>
  <c r="E43" i="1"/>
  <c r="D43" i="1"/>
  <c r="B43" i="1"/>
  <c r="C43" i="1" s="1"/>
  <c r="K42" i="1"/>
  <c r="I42" i="1"/>
  <c r="G42" i="1"/>
  <c r="E42" i="1"/>
  <c r="C42" i="1"/>
  <c r="I41" i="1"/>
  <c r="G41" i="1"/>
  <c r="E41" i="1"/>
  <c r="C41" i="1"/>
  <c r="J40" i="1"/>
  <c r="K40" i="1" s="1"/>
  <c r="I40" i="1"/>
  <c r="G40" i="1"/>
  <c r="E40" i="1"/>
  <c r="C40" i="1"/>
  <c r="I39" i="1"/>
  <c r="G39" i="1"/>
  <c r="E39" i="1"/>
  <c r="C39" i="1"/>
  <c r="N38" i="1"/>
  <c r="L38" i="1"/>
  <c r="J38" i="1"/>
  <c r="I38" i="1"/>
  <c r="G38" i="1"/>
  <c r="E38" i="1"/>
  <c r="C38" i="1"/>
  <c r="H34" i="1"/>
  <c r="I34" i="1" s="1"/>
  <c r="I33" i="1"/>
  <c r="G33" i="1"/>
  <c r="E33" i="1"/>
  <c r="C33" i="1"/>
  <c r="I32" i="1"/>
  <c r="G32" i="1"/>
  <c r="D32" i="1"/>
  <c r="E32" i="1" s="1"/>
  <c r="B32" i="1"/>
  <c r="C32" i="1" s="1"/>
  <c r="I31" i="1"/>
  <c r="G31" i="1"/>
  <c r="E31" i="1"/>
  <c r="C31" i="1"/>
  <c r="J30" i="1"/>
  <c r="K30" i="1" s="1"/>
  <c r="I30" i="1"/>
  <c r="G30" i="1"/>
  <c r="I29" i="1"/>
  <c r="G29" i="1"/>
  <c r="E29" i="1"/>
  <c r="C29" i="1"/>
  <c r="K28" i="1"/>
  <c r="I28" i="1"/>
  <c r="G28" i="1"/>
  <c r="E28" i="1"/>
  <c r="C28" i="1"/>
  <c r="I27" i="1"/>
  <c r="F27" i="1"/>
  <c r="G27" i="1" s="1"/>
  <c r="E27" i="1"/>
  <c r="C27" i="1"/>
  <c r="J26" i="1"/>
  <c r="K26" i="1" s="1"/>
  <c r="I26" i="1"/>
  <c r="G26" i="1"/>
  <c r="E26" i="1"/>
  <c r="C26" i="1"/>
  <c r="J25" i="1"/>
  <c r="K25" i="1" s="1"/>
  <c r="I25" i="1"/>
  <c r="G25" i="1"/>
  <c r="D25" i="1"/>
  <c r="E25" i="1" s="1"/>
  <c r="B25" i="1"/>
  <c r="C25" i="1" s="1"/>
  <c r="J24" i="1"/>
  <c r="K24" i="1" s="1"/>
  <c r="I24" i="1"/>
  <c r="G24" i="1"/>
  <c r="E24" i="1"/>
  <c r="C24" i="1"/>
  <c r="J21" i="1"/>
  <c r="K21" i="1" s="1"/>
  <c r="I21" i="1"/>
  <c r="G21" i="1"/>
  <c r="E21" i="1"/>
  <c r="C21" i="1"/>
  <c r="F20" i="1"/>
  <c r="G20" i="1" s="1"/>
  <c r="E20" i="1"/>
  <c r="C20" i="1"/>
  <c r="C22" i="1" s="1"/>
  <c r="I19" i="1"/>
  <c r="G19" i="1"/>
  <c r="G22" i="1" s="1"/>
  <c r="E19" i="1"/>
  <c r="E22" i="1" s="1"/>
  <c r="C19" i="1"/>
  <c r="F15" i="1"/>
  <c r="D15" i="1"/>
  <c r="B15" i="1"/>
  <c r="G13" i="1"/>
  <c r="H13" i="1" s="1"/>
  <c r="E13" i="1"/>
  <c r="E15" i="1" s="1"/>
  <c r="C13" i="1"/>
  <c r="C15" i="1" s="1"/>
  <c r="J10" i="1"/>
  <c r="K53" i="1" s="1"/>
  <c r="M4" i="1"/>
  <c r="M3" i="1"/>
  <c r="M2" i="1"/>
  <c r="M1" i="1"/>
  <c r="E54" i="3"/>
  <c r="C54" i="3"/>
  <c r="O21" i="2"/>
  <c r="M21" i="2"/>
  <c r="K21" i="2"/>
  <c r="I21" i="2"/>
  <c r="I10" i="2"/>
  <c r="K10" i="2" s="1"/>
  <c r="M10" i="2" s="1"/>
  <c r="O10" i="2" s="1"/>
  <c r="M1" i="3"/>
  <c r="J47" i="3"/>
  <c r="J59" i="3" s="1"/>
  <c r="H47" i="3"/>
  <c r="H59" i="3" s="1"/>
  <c r="F20" i="3"/>
  <c r="F22" i="3" s="1"/>
  <c r="J10" i="3"/>
  <c r="J26" i="3" s="1"/>
  <c r="M4" i="3"/>
  <c r="M3" i="3"/>
  <c r="M2" i="3"/>
  <c r="C21" i="2"/>
  <c r="G21" i="2"/>
  <c r="E21" i="2"/>
  <c r="N38" i="3"/>
  <c r="L38" i="3"/>
  <c r="J38" i="3"/>
  <c r="J24" i="3"/>
  <c r="F43" i="3"/>
  <c r="H49" i="3"/>
  <c r="F49" i="3"/>
  <c r="F27" i="3"/>
  <c r="F34" i="3" s="1"/>
  <c r="F59" i="3"/>
  <c r="N61" i="3"/>
  <c r="L61" i="3"/>
  <c r="J61" i="3"/>
  <c r="D49" i="3"/>
  <c r="B49" i="3"/>
  <c r="J41" i="1" l="1"/>
  <c r="K41" i="1" s="1"/>
  <c r="J20" i="1"/>
  <c r="K20" i="1" s="1"/>
  <c r="J39" i="1"/>
  <c r="K39" i="1" s="1"/>
  <c r="L10" i="1"/>
  <c r="M42" i="1" s="1"/>
  <c r="K31" i="1"/>
  <c r="J43" i="1"/>
  <c r="K43" i="1" s="1"/>
  <c r="H15" i="1"/>
  <c r="H20" i="1"/>
  <c r="I13" i="1"/>
  <c r="I15" i="1" s="1"/>
  <c r="G15" i="1"/>
  <c r="M19" i="1"/>
  <c r="L20" i="1"/>
  <c r="L21" i="1"/>
  <c r="M21" i="1" s="1"/>
  <c r="F22" i="1"/>
  <c r="J22" i="1"/>
  <c r="L24" i="1"/>
  <c r="L26" i="1"/>
  <c r="M26" i="1" s="1"/>
  <c r="M27" i="1"/>
  <c r="M29" i="1"/>
  <c r="L30" i="1"/>
  <c r="M30" i="1" s="1"/>
  <c r="M33" i="1"/>
  <c r="B34" i="1"/>
  <c r="C34" i="1" s="1"/>
  <c r="D34" i="1"/>
  <c r="F34" i="1"/>
  <c r="G34" i="1" s="1"/>
  <c r="L39" i="1"/>
  <c r="M39" i="1" s="1"/>
  <c r="L40" i="1"/>
  <c r="M40" i="1" s="1"/>
  <c r="L41" i="1"/>
  <c r="M41" i="1" s="1"/>
  <c r="M53" i="1"/>
  <c r="L54" i="1"/>
  <c r="M54" i="1" s="1"/>
  <c r="N10" i="1"/>
  <c r="O38" i="1" s="1"/>
  <c r="J13" i="1"/>
  <c r="K13" i="1" s="1"/>
  <c r="K15" i="1" s="1"/>
  <c r="L13" i="1"/>
  <c r="M13" i="1" s="1"/>
  <c r="M15" i="1" s="1"/>
  <c r="K19" i="1"/>
  <c r="K22" i="1" s="1"/>
  <c r="K27" i="1"/>
  <c r="M28" i="1"/>
  <c r="K29" i="1"/>
  <c r="M31" i="1"/>
  <c r="J32" i="1"/>
  <c r="K32" i="1" s="1"/>
  <c r="L32" i="1"/>
  <c r="M32" i="1" s="1"/>
  <c r="K33" i="1"/>
  <c r="K38" i="1"/>
  <c r="M38" i="1"/>
  <c r="J47" i="1"/>
  <c r="H49" i="1"/>
  <c r="I49" i="1" s="1"/>
  <c r="L47" i="3"/>
  <c r="L59" i="3" s="1"/>
  <c r="J54" i="3"/>
  <c r="K54" i="3" s="1"/>
  <c r="J30" i="3"/>
  <c r="K53" i="3"/>
  <c r="N47" i="3"/>
  <c r="N59" i="3" s="1"/>
  <c r="J49" i="3"/>
  <c r="J13" i="3"/>
  <c r="J21" i="3"/>
  <c r="J20" i="3"/>
  <c r="J25" i="3"/>
  <c r="J41" i="3"/>
  <c r="J40" i="3"/>
  <c r="H44" i="1" l="1"/>
  <c r="L15" i="1"/>
  <c r="J15" i="1"/>
  <c r="L25" i="1"/>
  <c r="M25" i="1" s="1"/>
  <c r="J49" i="1"/>
  <c r="K49" i="1" s="1"/>
  <c r="L47" i="1"/>
  <c r="J59" i="1"/>
  <c r="K47" i="1"/>
  <c r="O53" i="1"/>
  <c r="O33" i="1"/>
  <c r="N32" i="1"/>
  <c r="O32" i="1" s="1"/>
  <c r="O29" i="1"/>
  <c r="O27" i="1"/>
  <c r="O19" i="1"/>
  <c r="N13" i="1"/>
  <c r="O13" i="1" s="1"/>
  <c r="O15" i="1" s="1"/>
  <c r="N54" i="1"/>
  <c r="O54" i="1" s="1"/>
  <c r="O42" i="1"/>
  <c r="N41" i="1"/>
  <c r="O41" i="1" s="1"/>
  <c r="N40" i="1"/>
  <c r="O40" i="1" s="1"/>
  <c r="N39" i="1"/>
  <c r="O31" i="1"/>
  <c r="N30" i="1"/>
  <c r="O30" i="1" s="1"/>
  <c r="O28" i="1"/>
  <c r="N26" i="1"/>
  <c r="O26" i="1" s="1"/>
  <c r="N25" i="1"/>
  <c r="O25" i="1" s="1"/>
  <c r="N24" i="1"/>
  <c r="N21" i="1"/>
  <c r="O21" i="1" s="1"/>
  <c r="N20" i="1"/>
  <c r="E34" i="1"/>
  <c r="D44" i="1"/>
  <c r="D51" i="1" s="1"/>
  <c r="M24" i="1"/>
  <c r="L34" i="1"/>
  <c r="M34" i="1" s="1"/>
  <c r="M20" i="1"/>
  <c r="L22" i="1"/>
  <c r="I20" i="1"/>
  <c r="I22" i="1" s="1"/>
  <c r="H22" i="1"/>
  <c r="H51" i="1"/>
  <c r="J34" i="1"/>
  <c r="K34" i="1" s="1"/>
  <c r="L43" i="1"/>
  <c r="M43" i="1" s="1"/>
  <c r="F44" i="1"/>
  <c r="F51" i="1" s="1"/>
  <c r="B44" i="1"/>
  <c r="B51" i="1" s="1"/>
  <c r="J22" i="3"/>
  <c r="O25" i="2"/>
  <c r="M25" i="2"/>
  <c r="E48" i="3"/>
  <c r="C48" i="3"/>
  <c r="G47" i="3"/>
  <c r="G43" i="3"/>
  <c r="D43" i="3"/>
  <c r="E43" i="3" s="1"/>
  <c r="B43" i="3"/>
  <c r="C43" i="3" s="1"/>
  <c r="G42" i="3"/>
  <c r="E42" i="3"/>
  <c r="C42" i="3"/>
  <c r="G41" i="3"/>
  <c r="E41" i="3"/>
  <c r="C41" i="3"/>
  <c r="G40" i="3"/>
  <c r="E40" i="3"/>
  <c r="C40" i="3"/>
  <c r="G39" i="3"/>
  <c r="E39" i="3"/>
  <c r="C39" i="3"/>
  <c r="G30" i="3"/>
  <c r="G28" i="3"/>
  <c r="E28" i="3"/>
  <c r="C28" i="3"/>
  <c r="G38" i="3"/>
  <c r="E38" i="3"/>
  <c r="C38" i="3"/>
  <c r="I33" i="3"/>
  <c r="G33" i="3"/>
  <c r="E33" i="3"/>
  <c r="C33" i="3"/>
  <c r="G32" i="3"/>
  <c r="D32" i="3"/>
  <c r="E32" i="3" s="1"/>
  <c r="B32" i="3"/>
  <c r="C32" i="3" s="1"/>
  <c r="G31" i="3"/>
  <c r="E31" i="3"/>
  <c r="C31" i="3"/>
  <c r="G29" i="3"/>
  <c r="E29" i="3"/>
  <c r="C29" i="3"/>
  <c r="I27" i="3"/>
  <c r="G27" i="3"/>
  <c r="E27" i="3"/>
  <c r="C27" i="3"/>
  <c r="G26" i="3"/>
  <c r="E26" i="3"/>
  <c r="C26" i="3"/>
  <c r="G25" i="3"/>
  <c r="D25" i="3"/>
  <c r="D34" i="3" s="1"/>
  <c r="B25" i="3"/>
  <c r="B34" i="3" s="1"/>
  <c r="G34" i="3"/>
  <c r="E24" i="3"/>
  <c r="C24" i="3"/>
  <c r="G21" i="3"/>
  <c r="E21" i="3"/>
  <c r="C21" i="3"/>
  <c r="G20" i="3"/>
  <c r="E20" i="3"/>
  <c r="C20" i="3"/>
  <c r="G19" i="3"/>
  <c r="E19" i="3"/>
  <c r="C19" i="3"/>
  <c r="D15" i="3"/>
  <c r="B15" i="3"/>
  <c r="F15" i="3"/>
  <c r="E13" i="3"/>
  <c r="E15" i="3" s="1"/>
  <c r="C13" i="3"/>
  <c r="C15" i="3" s="1"/>
  <c r="C16" i="2"/>
  <c r="C25" i="2"/>
  <c r="N15" i="1" l="1"/>
  <c r="B44" i="3"/>
  <c r="B51" i="3" s="1"/>
  <c r="B56" i="3" s="1"/>
  <c r="C56" i="3" s="1"/>
  <c r="D44" i="3"/>
  <c r="D51" i="3" s="1"/>
  <c r="D56" i="3" s="1"/>
  <c r="E56" i="3" s="1"/>
  <c r="F56" i="1"/>
  <c r="G56" i="1" s="1"/>
  <c r="G51" i="1"/>
  <c r="F65" i="1"/>
  <c r="H56" i="1"/>
  <c r="I51" i="1"/>
  <c r="D56" i="1"/>
  <c r="E56" i="1" s="1"/>
  <c r="E51" i="1"/>
  <c r="N22" i="1"/>
  <c r="O20" i="1"/>
  <c r="O24" i="1"/>
  <c r="N34" i="1"/>
  <c r="O34" i="1" s="1"/>
  <c r="O39" i="1"/>
  <c r="N43" i="1"/>
  <c r="O43" i="1" s="1"/>
  <c r="B56" i="1"/>
  <c r="C56" i="1" s="1"/>
  <c r="C51" i="1"/>
  <c r="L59" i="1"/>
  <c r="L49" i="1"/>
  <c r="M49" i="1" s="1"/>
  <c r="N47" i="1"/>
  <c r="M47" i="1"/>
  <c r="L44" i="1"/>
  <c r="L51" i="1" s="1"/>
  <c r="J44" i="1"/>
  <c r="J51" i="1" s="1"/>
  <c r="E22" i="3"/>
  <c r="F44" i="3"/>
  <c r="K42" i="3"/>
  <c r="K25" i="3"/>
  <c r="C22" i="3"/>
  <c r="G22" i="3"/>
  <c r="G13" i="3"/>
  <c r="G49" i="3"/>
  <c r="E49" i="3"/>
  <c r="E34" i="3"/>
  <c r="C51" i="3"/>
  <c r="C49" i="3"/>
  <c r="C34" i="3"/>
  <c r="K19" i="3"/>
  <c r="I21" i="3"/>
  <c r="K21" i="3"/>
  <c r="G24" i="3"/>
  <c r="C25" i="3"/>
  <c r="E25" i="3"/>
  <c r="I26" i="3"/>
  <c r="K26" i="3"/>
  <c r="K29" i="3"/>
  <c r="I32" i="3"/>
  <c r="J32" i="3"/>
  <c r="K32" i="3" s="1"/>
  <c r="I38" i="3"/>
  <c r="K28" i="3"/>
  <c r="I39" i="3"/>
  <c r="J39" i="3"/>
  <c r="K39" i="3" s="1"/>
  <c r="I41" i="3"/>
  <c r="K41" i="3"/>
  <c r="K47" i="3"/>
  <c r="L10" i="3"/>
  <c r="K13" i="3"/>
  <c r="K15" i="3" s="1"/>
  <c r="J15" i="3"/>
  <c r="I25" i="3"/>
  <c r="K27" i="3"/>
  <c r="I29" i="3"/>
  <c r="I31" i="3"/>
  <c r="K31" i="3"/>
  <c r="K33" i="3"/>
  <c r="K38" i="3"/>
  <c r="I28" i="3"/>
  <c r="I30" i="3"/>
  <c r="I40" i="3"/>
  <c r="K40" i="3"/>
  <c r="I42" i="3"/>
  <c r="I47" i="3"/>
  <c r="L56" i="1" l="1"/>
  <c r="M51" i="1"/>
  <c r="J56" i="1"/>
  <c r="K51" i="1"/>
  <c r="N49" i="1"/>
  <c r="O49" i="1" s="1"/>
  <c r="N59" i="1"/>
  <c r="O47" i="1"/>
  <c r="H65" i="1"/>
  <c r="I56" i="1"/>
  <c r="N44" i="1"/>
  <c r="M53" i="3"/>
  <c r="L54" i="3"/>
  <c r="M54" i="3" s="1"/>
  <c r="G15" i="3"/>
  <c r="H13" i="3"/>
  <c r="L40" i="3"/>
  <c r="M40" i="3" s="1"/>
  <c r="L30" i="3"/>
  <c r="L26" i="3"/>
  <c r="M26" i="3" s="1"/>
  <c r="L49" i="3"/>
  <c r="L13" i="3"/>
  <c r="M13" i="3" s="1"/>
  <c r="M15" i="3" s="1"/>
  <c r="L41" i="3"/>
  <c r="L32" i="3"/>
  <c r="M32" i="3" s="1"/>
  <c r="L25" i="3"/>
  <c r="L20" i="3"/>
  <c r="L21" i="3"/>
  <c r="M21" i="3" s="1"/>
  <c r="F51" i="3"/>
  <c r="F65" i="3" s="1"/>
  <c r="H34" i="3"/>
  <c r="I24" i="3"/>
  <c r="K20" i="3"/>
  <c r="K22" i="3" s="1"/>
  <c r="H43" i="3"/>
  <c r="J43" i="3"/>
  <c r="K43" i="3" s="1"/>
  <c r="K30" i="3"/>
  <c r="J34" i="3"/>
  <c r="K24" i="3"/>
  <c r="M47" i="3"/>
  <c r="M42" i="3"/>
  <c r="M28" i="3"/>
  <c r="M31" i="3"/>
  <c r="M29" i="3"/>
  <c r="M25" i="3"/>
  <c r="L24" i="3"/>
  <c r="M19" i="3"/>
  <c r="M41" i="3"/>
  <c r="L39" i="3"/>
  <c r="M39" i="3" s="1"/>
  <c r="M38" i="3"/>
  <c r="M33" i="3"/>
  <c r="M27" i="3"/>
  <c r="N10" i="3"/>
  <c r="I19" i="3"/>
  <c r="E51" i="3"/>
  <c r="K56" i="1" l="1"/>
  <c r="J65" i="1"/>
  <c r="L65" i="1"/>
  <c r="M56" i="1"/>
  <c r="N51" i="1"/>
  <c r="G51" i="3"/>
  <c r="L22" i="3"/>
  <c r="O53" i="3"/>
  <c r="N54" i="3"/>
  <c r="O54" i="3" s="1"/>
  <c r="H20" i="3"/>
  <c r="I13" i="3"/>
  <c r="I15" i="3" s="1"/>
  <c r="H15" i="3"/>
  <c r="H44" i="3" s="1"/>
  <c r="H51" i="3" s="1"/>
  <c r="F56" i="3"/>
  <c r="G56" i="3" s="1"/>
  <c r="N26" i="3"/>
  <c r="O26" i="3" s="1"/>
  <c r="N49" i="3"/>
  <c r="N13" i="3"/>
  <c r="O13" i="3" s="1"/>
  <c r="O15" i="3" s="1"/>
  <c r="N41" i="3"/>
  <c r="N32" i="3"/>
  <c r="O32" i="3" s="1"/>
  <c r="N25" i="3"/>
  <c r="N40" i="3"/>
  <c r="O40" i="3" s="1"/>
  <c r="N30" i="3"/>
  <c r="N20" i="3"/>
  <c r="O20" i="3" s="1"/>
  <c r="N21" i="3"/>
  <c r="O21" i="3" s="1"/>
  <c r="J44" i="3"/>
  <c r="J51" i="3" s="1"/>
  <c r="J56" i="3" s="1"/>
  <c r="J65" i="3" s="1"/>
  <c r="L15" i="3"/>
  <c r="I43" i="3"/>
  <c r="K34" i="3"/>
  <c r="I34" i="3"/>
  <c r="M20" i="3"/>
  <c r="L43" i="3"/>
  <c r="M43" i="3" s="1"/>
  <c r="M30" i="3"/>
  <c r="O42" i="3"/>
  <c r="O38" i="3"/>
  <c r="O33" i="3"/>
  <c r="O31" i="3"/>
  <c r="O27" i="3"/>
  <c r="O25" i="3"/>
  <c r="N24" i="3"/>
  <c r="O47" i="3"/>
  <c r="O41" i="3"/>
  <c r="N39" i="3"/>
  <c r="O39" i="3" s="1"/>
  <c r="O28" i="3"/>
  <c r="O29" i="3"/>
  <c r="L34" i="3"/>
  <c r="M24" i="3"/>
  <c r="E25" i="2"/>
  <c r="C29" i="2"/>
  <c r="N56" i="1" l="1"/>
  <c r="O51" i="1"/>
  <c r="H22" i="3"/>
  <c r="I20" i="3"/>
  <c r="I22" i="3" s="1"/>
  <c r="H56" i="3"/>
  <c r="K56" i="3"/>
  <c r="N22" i="3"/>
  <c r="L44" i="3"/>
  <c r="L51" i="3" s="1"/>
  <c r="L56" i="3" s="1"/>
  <c r="N15" i="3"/>
  <c r="M34" i="3"/>
  <c r="M49" i="3"/>
  <c r="I49" i="3"/>
  <c r="O19" i="3"/>
  <c r="N43" i="3"/>
  <c r="O43" i="3" s="1"/>
  <c r="O30" i="3"/>
  <c r="N34" i="3"/>
  <c r="O24" i="3"/>
  <c r="K49" i="3"/>
  <c r="C31" i="2"/>
  <c r="O56" i="1" l="1"/>
  <c r="N65" i="1"/>
  <c r="M56" i="3"/>
  <c r="L65" i="3"/>
  <c r="I56" i="3"/>
  <c r="H65" i="3"/>
  <c r="N44" i="3"/>
  <c r="N51" i="3" s="1"/>
  <c r="N56" i="3" s="1"/>
  <c r="I51" i="3"/>
  <c r="O34" i="3"/>
  <c r="K51" i="3"/>
  <c r="E29" i="2"/>
  <c r="G25" i="2"/>
  <c r="K25" i="2"/>
  <c r="G29" i="2"/>
  <c r="I28" i="2"/>
  <c r="K28" i="2" s="1"/>
  <c r="M28" i="2" s="1"/>
  <c r="O28" i="2" l="1"/>
  <c r="N65" i="3"/>
  <c r="O56" i="3"/>
  <c r="E16" i="2"/>
  <c r="E31" i="2"/>
  <c r="M51" i="3"/>
  <c r="O49" i="3"/>
  <c r="G31" i="2"/>
  <c r="I25" i="2"/>
  <c r="I29" i="2"/>
  <c r="K29" i="2" l="1"/>
  <c r="K31" i="2" s="1"/>
  <c r="K6" i="2" s="1"/>
  <c r="O51" i="3"/>
  <c r="G16" i="2"/>
  <c r="I31" i="2"/>
  <c r="I6" i="2" s="1"/>
  <c r="K16" i="2" l="1"/>
  <c r="M29" i="2"/>
  <c r="M31" i="2" s="1"/>
  <c r="M6" i="2" s="1"/>
  <c r="O29" i="2"/>
  <c r="O31" i="2" s="1"/>
  <c r="O6" i="2" s="1"/>
  <c r="I16" i="2"/>
  <c r="M16" i="2" l="1"/>
  <c r="O16" i="2"/>
</calcChain>
</file>

<file path=xl/sharedStrings.xml><?xml version="1.0" encoding="utf-8"?>
<sst xmlns="http://schemas.openxmlformats.org/spreadsheetml/2006/main" count="191" uniqueCount="85">
  <si>
    <t>SALES</t>
  </si>
  <si>
    <t>COST OF GOODS SOLD</t>
  </si>
  <si>
    <t>Direct costs</t>
  </si>
  <si>
    <t>GROSS MARGIN</t>
  </si>
  <si>
    <t>EXPENSES</t>
  </si>
  <si>
    <t>Advertising and promotion</t>
  </si>
  <si>
    <t xml:space="preserve">Rent </t>
  </si>
  <si>
    <t>Insurance</t>
  </si>
  <si>
    <t>Repairs and Maintenance</t>
  </si>
  <si>
    <t>Depreciation and Amortization</t>
  </si>
  <si>
    <t>Total Variable Costs</t>
  </si>
  <si>
    <t>Total Fixed Cost</t>
  </si>
  <si>
    <t>Office Supplies and Postage</t>
  </si>
  <si>
    <t>Accounting, Consulting and Legal</t>
  </si>
  <si>
    <t>VARIABLE COSTS:</t>
  </si>
  <si>
    <t>FIXED COSTS:</t>
  </si>
  <si>
    <t>TOTAL EXPENSES</t>
  </si>
  <si>
    <t>%</t>
  </si>
  <si>
    <t>NET INCOME</t>
  </si>
  <si>
    <t>ASSETS</t>
  </si>
  <si>
    <t>Current Assets</t>
  </si>
  <si>
    <t>Cash</t>
  </si>
  <si>
    <t>Accounts Receivable</t>
  </si>
  <si>
    <t>Fixed Assets</t>
  </si>
  <si>
    <t>Property and Equipment</t>
  </si>
  <si>
    <t>Inventory</t>
  </si>
  <si>
    <t>LIABILITIES AND SHAREHOLDERS EQUITY</t>
  </si>
  <si>
    <t xml:space="preserve">Income Taxes Payable </t>
  </si>
  <si>
    <t>Share Capital</t>
  </si>
  <si>
    <t>Retained Earnings</t>
  </si>
  <si>
    <t xml:space="preserve">Total Equity </t>
  </si>
  <si>
    <t>Total Assets</t>
  </si>
  <si>
    <t xml:space="preserve">Total Liabilities </t>
  </si>
  <si>
    <t xml:space="preserve">Loan  - Share transaction </t>
  </si>
  <si>
    <t xml:space="preserve">Sales Projection: </t>
  </si>
  <si>
    <t>Actual per FS</t>
  </si>
  <si>
    <t>Prepaid</t>
  </si>
  <si>
    <t>Investment in New clinic</t>
  </si>
  <si>
    <t>Liabilities</t>
  </si>
  <si>
    <t>Total Liabilities &amp; Equity</t>
  </si>
  <si>
    <t>WDDC shares</t>
  </si>
  <si>
    <t>TW salary</t>
  </si>
  <si>
    <t>2014-15</t>
  </si>
  <si>
    <t>2015-16</t>
  </si>
  <si>
    <t>Interest and Bank Charges****</t>
  </si>
  <si>
    <t xml:space="preserve">**** Must include Moneris fees - Our fees are included in Cost of Sales </t>
  </si>
  <si>
    <t>$5000 additional fees for legal and accounting fees - first year</t>
  </si>
  <si>
    <t>NET INCOME PRIOR TO ACCOUNTING ADJUSTMENTS</t>
  </si>
  <si>
    <t>Owners salaries - til Feb 2015</t>
  </si>
  <si>
    <t>Loan payments - cash flow</t>
  </si>
  <si>
    <t xml:space="preserve">Less Interest already built in </t>
  </si>
  <si>
    <t>CASH FLOW:</t>
  </si>
  <si>
    <t xml:space="preserve">Corporate Tax expense - potential - estimated 10% </t>
  </si>
  <si>
    <t xml:space="preserve">Net Cash flow </t>
  </si>
  <si>
    <t xml:space="preserve">2016-17 - 5% increase </t>
  </si>
  <si>
    <t xml:space="preserve">2017-18 - 5% increase </t>
  </si>
  <si>
    <t>Income Statement Projections for 2015-18</t>
  </si>
  <si>
    <t>2016-17</t>
  </si>
  <si>
    <t>2017-18</t>
  </si>
  <si>
    <t>Computer &amp; Equipment Maintenance</t>
  </si>
  <si>
    <t>2013-14</t>
  </si>
  <si>
    <t>Add back non cash depreciation</t>
  </si>
  <si>
    <t>Other Income</t>
  </si>
  <si>
    <t>Utilities and Telephone</t>
  </si>
  <si>
    <t>Property Taxes ???</t>
  </si>
  <si>
    <t>Dues and Professional Development</t>
  </si>
  <si>
    <t>Loss on disposal of equipment</t>
  </si>
  <si>
    <t>Income tax</t>
  </si>
  <si>
    <t>2012-13</t>
  </si>
  <si>
    <t>2011-12</t>
  </si>
  <si>
    <t>2010-11</t>
  </si>
  <si>
    <t>Interest  - New Loan - $770,000 - 7 yrs</t>
  </si>
  <si>
    <t>Automotive and travel (mgmt allocation)</t>
  </si>
  <si>
    <t>Vet Wages</t>
  </si>
  <si>
    <t>Non Vet Wages</t>
  </si>
  <si>
    <t>waiting interim</t>
  </si>
  <si>
    <t xml:space="preserve">*** Estimated Loan at $770,000 at 3.85% for 7 Yrs.   Payments including interest at $10,417.90 per month </t>
  </si>
  <si>
    <t>estimated</t>
  </si>
  <si>
    <t>Rosslyn</t>
  </si>
  <si>
    <t>2015-16 - 8.5 % increase</t>
  </si>
  <si>
    <t xml:space="preserve">Rosslyn Projections:  </t>
  </si>
  <si>
    <t xml:space="preserve">Meeting and Meals </t>
  </si>
  <si>
    <t xml:space="preserve">NET INCOME PRE OWNER </t>
  </si>
  <si>
    <t>MGMT Overhead Allocation - 12%</t>
  </si>
  <si>
    <t xml:space="preserve">NET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</si>
</sst>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8">
    <xf numFmtId="0" fontId="0" fillId="0" borderId="0" xfId="0"/>
    <xf numFmtId="164" fontId="0" fillId="0" borderId="0" xfId="1" applyFont="1"/>
    <xf numFmtId="166" fontId="0" fillId="0" borderId="0" xfId="2" applyNumberFormat="1" applyFont="1"/>
    <xf numFmtId="0" fontId="2" fillId="0" borderId="0" xfId="0" applyFont="1"/>
    <xf numFmtId="0" fontId="3" fillId="0" borderId="0" xfId="0" applyFont="1"/>
    <xf numFmtId="164" fontId="0" fillId="0" borderId="1" xfId="1" applyFont="1" applyBorder="1"/>
    <xf numFmtId="164" fontId="2" fillId="0" borderId="0" xfId="1" applyFont="1"/>
    <xf numFmtId="0" fontId="4" fillId="0" borderId="0" xfId="0" applyFont="1"/>
    <xf numFmtId="0" fontId="5" fillId="0" borderId="0" xfId="0" applyFont="1"/>
    <xf numFmtId="166" fontId="5" fillId="0" borderId="0" xfId="2" applyNumberFormat="1" applyFont="1"/>
    <xf numFmtId="9" fontId="0" fillId="0" borderId="0" xfId="2" applyFont="1"/>
    <xf numFmtId="164" fontId="0" fillId="0" borderId="0" xfId="0" applyNumberFormat="1"/>
    <xf numFmtId="166" fontId="5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9" fontId="5" fillId="0" borderId="0" xfId="2" applyFont="1"/>
    <xf numFmtId="165" fontId="0" fillId="0" borderId="0" xfId="3" applyFont="1"/>
    <xf numFmtId="0" fontId="2" fillId="0" borderId="0" xfId="3" applyNumberFormat="1" applyFont="1" applyAlignment="1">
      <alignment horizontal="center" wrapText="1"/>
    </xf>
    <xf numFmtId="164" fontId="0" fillId="0" borderId="1" xfId="0" applyNumberFormat="1" applyBorder="1"/>
    <xf numFmtId="164" fontId="2" fillId="0" borderId="0" xfId="0" applyNumberFormat="1" applyFont="1"/>
    <xf numFmtId="0" fontId="2" fillId="2" borderId="0" xfId="0" applyFont="1" applyFill="1" applyAlignment="1">
      <alignment horizontal="center" wrapText="1"/>
    </xf>
    <xf numFmtId="166" fontId="0" fillId="2" borderId="0" xfId="2" applyNumberFormat="1" applyFont="1" applyFill="1" applyAlignment="1">
      <alignment horizontal="center"/>
    </xf>
    <xf numFmtId="9" fontId="0" fillId="2" borderId="0" xfId="2" applyFont="1" applyFill="1"/>
    <xf numFmtId="164" fontId="0" fillId="2" borderId="0" xfId="1" applyFont="1" applyFill="1"/>
    <xf numFmtId="0" fontId="2" fillId="3" borderId="0" xfId="0" applyFont="1" applyFill="1" applyAlignment="1">
      <alignment horizontal="center"/>
    </xf>
    <xf numFmtId="166" fontId="2" fillId="3" borderId="0" xfId="2" applyNumberFormat="1" applyFont="1" applyFill="1" applyAlignment="1">
      <alignment horizontal="center" wrapText="1"/>
    </xf>
    <xf numFmtId="164" fontId="3" fillId="3" borderId="0" xfId="1" applyFont="1" applyFill="1"/>
    <xf numFmtId="164" fontId="2" fillId="3" borderId="0" xfId="1" applyFont="1" applyFill="1"/>
    <xf numFmtId="166" fontId="0" fillId="3" borderId="0" xfId="2" applyNumberFormat="1" applyFont="1" applyFill="1"/>
    <xf numFmtId="164" fontId="0" fillId="3" borderId="0" xfId="1" applyFont="1" applyFill="1"/>
    <xf numFmtId="164" fontId="1" fillId="3" borderId="1" xfId="1" applyFont="1" applyFill="1" applyBorder="1"/>
    <xf numFmtId="166" fontId="0" fillId="3" borderId="1" xfId="2" applyNumberFormat="1" applyFont="1" applyFill="1" applyBorder="1"/>
    <xf numFmtId="164" fontId="0" fillId="3" borderId="1" xfId="1" applyFont="1" applyFill="1" applyBorder="1"/>
    <xf numFmtId="166" fontId="2" fillId="3" borderId="0" xfId="2" applyNumberFormat="1" applyFont="1" applyFill="1"/>
    <xf numFmtId="164" fontId="2" fillId="3" borderId="2" xfId="1" applyFont="1" applyFill="1" applyBorder="1"/>
    <xf numFmtId="166" fontId="2" fillId="3" borderId="2" xfId="2" applyNumberFormat="1" applyFont="1" applyFill="1" applyBorder="1"/>
    <xf numFmtId="164" fontId="2" fillId="3" borderId="0" xfId="1" applyFont="1" applyFill="1" applyBorder="1"/>
    <xf numFmtId="166" fontId="2" fillId="3" borderId="0" xfId="2" applyNumberFormat="1" applyFont="1" applyFill="1" applyBorder="1"/>
    <xf numFmtId="166" fontId="6" fillId="0" borderId="0" xfId="2" applyNumberFormat="1" applyFont="1"/>
    <xf numFmtId="0" fontId="6" fillId="0" borderId="0" xfId="0" applyFont="1"/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164" fontId="0" fillId="4" borderId="0" xfId="1" applyFont="1" applyFill="1"/>
    <xf numFmtId="164" fontId="0" fillId="4" borderId="1" xfId="1" applyFont="1" applyFill="1" applyBorder="1"/>
    <xf numFmtId="164" fontId="2" fillId="4" borderId="0" xfId="1" applyFont="1" applyFill="1"/>
    <xf numFmtId="164" fontId="2" fillId="4" borderId="2" xfId="1" applyFont="1" applyFill="1" applyBorder="1"/>
    <xf numFmtId="164" fontId="2" fillId="4" borderId="0" xfId="1" applyFont="1" applyFill="1" applyBorder="1"/>
    <xf numFmtId="166" fontId="2" fillId="4" borderId="0" xfId="2" applyNumberFormat="1" applyFont="1" applyFill="1" applyAlignment="1">
      <alignment horizontal="center" wrapText="1"/>
    </xf>
    <xf numFmtId="166" fontId="0" fillId="4" borderId="0" xfId="2" applyNumberFormat="1" applyFont="1" applyFill="1"/>
    <xf numFmtId="166" fontId="0" fillId="4" borderId="1" xfId="2" applyNumberFormat="1" applyFont="1" applyFill="1" applyBorder="1"/>
    <xf numFmtId="166" fontId="2" fillId="4" borderId="0" xfId="2" applyNumberFormat="1" applyFont="1" applyFill="1"/>
    <xf numFmtId="166" fontId="2" fillId="4" borderId="2" xfId="2" applyNumberFormat="1" applyFont="1" applyFill="1" applyBorder="1"/>
    <xf numFmtId="166" fontId="2" fillId="4" borderId="0" xfId="2" applyNumberFormat="1" applyFont="1" applyFill="1" applyBorder="1"/>
    <xf numFmtId="164" fontId="0" fillId="5" borderId="1" xfId="1" applyFont="1" applyFill="1" applyBorder="1"/>
    <xf numFmtId="166" fontId="0" fillId="5" borderId="1" xfId="2" applyNumberFormat="1" applyFont="1" applyFill="1" applyBorder="1" applyAlignment="1">
      <alignment horizontal="center"/>
    </xf>
    <xf numFmtId="9" fontId="0" fillId="5" borderId="1" xfId="2" applyFont="1" applyFill="1" applyBorder="1"/>
    <xf numFmtId="164" fontId="0" fillId="5" borderId="0" xfId="1" applyFont="1" applyFill="1"/>
    <xf numFmtId="166" fontId="0" fillId="5" borderId="0" xfId="2" applyNumberFormat="1" applyFont="1" applyFill="1"/>
    <xf numFmtId="166" fontId="0" fillId="5" borderId="0" xfId="2" applyNumberFormat="1" applyFont="1" applyFill="1" applyAlignment="1">
      <alignment horizontal="center"/>
    </xf>
    <xf numFmtId="9" fontId="0" fillId="5" borderId="0" xfId="2" applyFont="1" applyFill="1"/>
    <xf numFmtId="164" fontId="2" fillId="5" borderId="0" xfId="1" applyFont="1" applyFill="1"/>
    <xf numFmtId="166" fontId="2" fillId="5" borderId="0" xfId="2" applyNumberFormat="1" applyFont="1" applyFill="1" applyAlignment="1">
      <alignment horizontal="center"/>
    </xf>
    <xf numFmtId="9" fontId="2" fillId="5" borderId="0" xfId="2" applyFont="1" applyFill="1"/>
    <xf numFmtId="164" fontId="0" fillId="6" borderId="0" xfId="1" applyFont="1" applyFill="1"/>
    <xf numFmtId="164" fontId="0" fillId="6" borderId="1" xfId="1" applyFont="1" applyFill="1" applyBorder="1"/>
    <xf numFmtId="164" fontId="2" fillId="6" borderId="0" xfId="1" applyFont="1" applyFill="1"/>
    <xf numFmtId="164" fontId="2" fillId="6" borderId="2" xfId="1" applyFont="1" applyFill="1" applyBorder="1"/>
    <xf numFmtId="164" fontId="2" fillId="6" borderId="0" xfId="1" applyFont="1" applyFill="1" applyBorder="1"/>
    <xf numFmtId="166" fontId="0" fillId="6" borderId="0" xfId="2" applyNumberFormat="1" applyFont="1" applyFill="1"/>
    <xf numFmtId="166" fontId="0" fillId="6" borderId="1" xfId="2" applyNumberFormat="1" applyFont="1" applyFill="1" applyBorder="1"/>
    <xf numFmtId="166" fontId="2" fillId="6" borderId="0" xfId="2" applyNumberFormat="1" applyFont="1" applyFill="1"/>
    <xf numFmtId="166" fontId="2" fillId="6" borderId="2" xfId="2" applyNumberFormat="1" applyFont="1" applyFill="1" applyBorder="1"/>
    <xf numFmtId="166" fontId="2" fillId="6" borderId="0" xfId="2" applyNumberFormat="1" applyFont="1" applyFill="1" applyBorder="1"/>
    <xf numFmtId="164" fontId="2" fillId="5" borderId="2" xfId="1" applyFont="1" applyFill="1" applyBorder="1"/>
    <xf numFmtId="164" fontId="2" fillId="5" borderId="0" xfId="1" applyFont="1" applyFill="1" applyBorder="1"/>
    <xf numFmtId="166" fontId="2" fillId="5" borderId="2" xfId="2" applyNumberFormat="1" applyFont="1" applyFill="1" applyBorder="1" applyAlignment="1">
      <alignment horizontal="center"/>
    </xf>
    <xf numFmtId="9" fontId="2" fillId="5" borderId="2" xfId="2" applyFont="1" applyFill="1" applyBorder="1"/>
    <xf numFmtId="166" fontId="2" fillId="5" borderId="0" xfId="2" applyNumberFormat="1" applyFont="1" applyFill="1" applyBorder="1" applyAlignment="1">
      <alignment horizontal="center"/>
    </xf>
    <xf numFmtId="9" fontId="2" fillId="5" borderId="0" xfId="2" applyFont="1" applyFill="1" applyBorder="1"/>
    <xf numFmtId="0" fontId="2" fillId="7" borderId="0" xfId="0" applyFont="1" applyFill="1" applyAlignment="1">
      <alignment horizontal="center" wrapText="1"/>
    </xf>
    <xf numFmtId="166" fontId="0" fillId="7" borderId="0" xfId="2" applyNumberFormat="1" applyFont="1" applyFill="1"/>
    <xf numFmtId="164" fontId="0" fillId="7" borderId="0" xfId="1" applyFont="1" applyFill="1"/>
    <xf numFmtId="164" fontId="0" fillId="7" borderId="1" xfId="1" applyFont="1" applyFill="1" applyBorder="1"/>
    <xf numFmtId="166" fontId="0" fillId="7" borderId="1" xfId="2" applyNumberFormat="1" applyFont="1" applyFill="1" applyBorder="1"/>
    <xf numFmtId="164" fontId="2" fillId="7" borderId="0" xfId="1" applyFont="1" applyFill="1"/>
    <xf numFmtId="166" fontId="2" fillId="7" borderId="0" xfId="2" applyNumberFormat="1" applyFont="1" applyFill="1"/>
    <xf numFmtId="164" fontId="2" fillId="7" borderId="2" xfId="1" applyFont="1" applyFill="1" applyBorder="1"/>
    <xf numFmtId="166" fontId="2" fillId="7" borderId="2" xfId="2" applyNumberFormat="1" applyFont="1" applyFill="1" applyBorder="1"/>
    <xf numFmtId="164" fontId="2" fillId="7" borderId="0" xfId="1" applyFont="1" applyFill="1" applyBorder="1"/>
    <xf numFmtId="166" fontId="2" fillId="7" borderId="0" xfId="2" applyNumberFormat="1" applyFont="1" applyFill="1" applyBorder="1"/>
    <xf numFmtId="0" fontId="2" fillId="5" borderId="0" xfId="0" applyFont="1" applyFill="1" applyAlignment="1">
      <alignment horizontal="center" wrapText="1"/>
    </xf>
    <xf numFmtId="9" fontId="0" fillId="4" borderId="0" xfId="2" applyFont="1" applyFill="1"/>
    <xf numFmtId="164" fontId="0" fillId="0" borderId="0" xfId="1" applyFont="1" applyFill="1" applyBorder="1"/>
    <xf numFmtId="9" fontId="0" fillId="5" borderId="0" xfId="2" applyFont="1" applyFill="1" applyBorder="1"/>
    <xf numFmtId="0" fontId="2" fillId="6" borderId="0" xfId="0" applyFont="1" applyFill="1" applyAlignment="1">
      <alignment horizontal="center" wrapText="1"/>
    </xf>
    <xf numFmtId="164" fontId="9" fillId="3" borderId="0" xfId="1" applyFont="1" applyFill="1"/>
    <xf numFmtId="166" fontId="9" fillId="3" borderId="0" xfId="2" applyNumberFormat="1" applyFont="1" applyFill="1"/>
    <xf numFmtId="164" fontId="9" fillId="4" borderId="0" xfId="1" applyFont="1" applyFill="1"/>
    <xf numFmtId="166" fontId="9" fillId="4" borderId="0" xfId="2" applyNumberFormat="1" applyFont="1" applyFill="1"/>
    <xf numFmtId="164" fontId="9" fillId="7" borderId="0" xfId="1" applyFont="1" applyFill="1"/>
    <xf numFmtId="166" fontId="9" fillId="7" borderId="0" xfId="2" applyNumberFormat="1" applyFont="1" applyFill="1"/>
    <xf numFmtId="164" fontId="9" fillId="6" borderId="0" xfId="1" applyFont="1" applyFill="1"/>
    <xf numFmtId="166" fontId="9" fillId="6" borderId="0" xfId="2" applyNumberFormat="1" applyFont="1" applyFill="1"/>
    <xf numFmtId="164" fontId="9" fillId="5" borderId="0" xfId="1" applyFont="1" applyFill="1"/>
    <xf numFmtId="166" fontId="9" fillId="5" borderId="0" xfId="2" applyNumberFormat="1" applyFont="1" applyFill="1" applyAlignment="1">
      <alignment horizontal="center"/>
    </xf>
    <xf numFmtId="9" fontId="9" fillId="5" borderId="0" xfId="2" applyFont="1" applyFill="1"/>
    <xf numFmtId="0" fontId="9" fillId="0" borderId="0" xfId="0" applyFont="1"/>
    <xf numFmtId="164" fontId="2" fillId="5" borderId="1" xfId="1" applyFont="1" applyFill="1" applyBorder="1"/>
    <xf numFmtId="0" fontId="8" fillId="0" borderId="0" xfId="0" applyFont="1" applyAlignment="1">
      <alignment vertical="top" wrapText="1"/>
    </xf>
    <xf numFmtId="0" fontId="7" fillId="8" borderId="0" xfId="0" applyFont="1" applyFill="1"/>
    <xf numFmtId="166" fontId="0" fillId="8" borderId="0" xfId="2" applyNumberFormat="1" applyFon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2" fillId="7" borderId="1" xfId="1" applyFont="1" applyFill="1" applyBorder="1"/>
    <xf numFmtId="164" fontId="10" fillId="5" borderId="0" xfId="1" applyFont="1" applyFill="1"/>
    <xf numFmtId="166" fontId="10" fillId="5" borderId="0" xfId="2" applyNumberFormat="1" applyFont="1" applyFill="1" applyAlignment="1">
      <alignment horizontal="center"/>
    </xf>
    <xf numFmtId="166" fontId="10" fillId="5" borderId="0" xfId="2" applyNumberFormat="1" applyFont="1" applyFill="1"/>
    <xf numFmtId="166" fontId="10" fillId="5" borderId="1" xfId="2" applyNumberFormat="1" applyFont="1" applyFill="1" applyBorder="1" applyAlignment="1">
      <alignment horizontal="center"/>
    </xf>
    <xf numFmtId="164" fontId="10" fillId="5" borderId="1" xfId="1" applyFont="1" applyFill="1" applyBorder="1"/>
    <xf numFmtId="9" fontId="10" fillId="5" borderId="1" xfId="2" applyFont="1" applyFill="1" applyBorder="1"/>
    <xf numFmtId="9" fontId="10" fillId="5" borderId="0" xfId="2" applyFont="1" applyFill="1"/>
    <xf numFmtId="166" fontId="10" fillId="5" borderId="1" xfId="2" applyNumberFormat="1" applyFont="1" applyFill="1" applyBorder="1"/>
    <xf numFmtId="164" fontId="10" fillId="8" borderId="0" xfId="1" applyFont="1" applyFill="1"/>
    <xf numFmtId="164" fontId="2" fillId="6" borderId="1" xfId="1" applyFont="1" applyFill="1" applyBorder="1"/>
    <xf numFmtId="166" fontId="2" fillId="6" borderId="1" xfId="2" applyNumberFormat="1" applyFont="1" applyFill="1" applyBorder="1"/>
    <xf numFmtId="166" fontId="2" fillId="7" borderId="1" xfId="2" applyNumberFormat="1" applyFont="1" applyFill="1" applyBorder="1"/>
    <xf numFmtId="166" fontId="2" fillId="5" borderId="1" xfId="2" applyNumberFormat="1" applyFont="1" applyFill="1" applyBorder="1" applyAlignment="1">
      <alignment horizontal="center"/>
    </xf>
    <xf numFmtId="9" fontId="2" fillId="5" borderId="1" xfId="2" applyFont="1" applyFill="1" applyBorder="1"/>
    <xf numFmtId="0" fontId="0" fillId="8" borderId="0" xfId="0" applyFill="1"/>
    <xf numFmtId="164" fontId="0" fillId="3" borderId="0" xfId="1" applyFont="1" applyFill="1" applyBorder="1"/>
    <xf numFmtId="166" fontId="0" fillId="3" borderId="0" xfId="2" applyNumberFormat="1" applyFont="1" applyFill="1" applyBorder="1"/>
    <xf numFmtId="164" fontId="0" fillId="4" borderId="0" xfId="1" applyFont="1" applyFill="1" applyBorder="1"/>
    <xf numFmtId="166" fontId="0" fillId="4" borderId="0" xfId="2" applyNumberFormat="1" applyFont="1" applyFill="1" applyBorder="1"/>
    <xf numFmtId="164" fontId="0" fillId="7" borderId="0" xfId="1" applyFont="1" applyFill="1" applyBorder="1"/>
    <xf numFmtId="166" fontId="0" fillId="7" borderId="0" xfId="2" applyNumberFormat="1" applyFont="1" applyFill="1" applyBorder="1"/>
    <xf numFmtId="164" fontId="0" fillId="6" borderId="0" xfId="1" applyFont="1" applyFill="1" applyBorder="1"/>
    <xf numFmtId="166" fontId="0" fillId="6" borderId="0" xfId="2" applyNumberFormat="1" applyFont="1" applyFill="1" applyBorder="1"/>
    <xf numFmtId="164" fontId="0" fillId="5" borderId="0" xfId="1" applyFont="1" applyFill="1" applyBorder="1"/>
    <xf numFmtId="0" fontId="2" fillId="6" borderId="0" xfId="0" applyFont="1" applyFill="1" applyAlignment="1">
      <alignment horizontal="center" wrapText="1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opLeftCell="A40" workbookViewId="0">
      <selection activeCell="A56" sqref="A56"/>
    </sheetView>
  </sheetViews>
  <sheetFormatPr defaultRowHeight="14.5" x14ac:dyDescent="0.35"/>
  <cols>
    <col min="1" max="1" width="31.90625" customWidth="1"/>
    <col min="2" max="2" width="0.36328125" hidden="1" customWidth="1"/>
    <col min="3" max="3" width="8.26953125" style="2" hidden="1" customWidth="1"/>
    <col min="4" max="4" width="13.1796875" hidden="1" customWidth="1"/>
    <col min="5" max="5" width="7.90625" style="2" hidden="1" customWidth="1"/>
    <col min="6" max="6" width="13.90625" customWidth="1"/>
    <col min="7" max="7" width="7.36328125" style="2" customWidth="1"/>
    <col min="8" max="8" width="13.453125" customWidth="1"/>
    <col min="9" max="9" width="6.81640625" style="2" bestFit="1" customWidth="1"/>
    <col min="10" max="10" width="13.90625" customWidth="1"/>
    <col min="11" max="11" width="7.7265625" style="13" customWidth="1"/>
    <col min="12" max="12" width="13.36328125" customWidth="1"/>
    <col min="13" max="13" width="5.7265625" style="10" customWidth="1"/>
    <col min="14" max="14" width="13.7265625" customWidth="1"/>
    <col min="15" max="15" width="6.26953125" customWidth="1"/>
  </cols>
  <sheetData>
    <row r="1" spans="1:15" x14ac:dyDescent="0.35">
      <c r="A1" t="s">
        <v>78</v>
      </c>
      <c r="F1" s="37" t="s">
        <v>34</v>
      </c>
      <c r="G1" s="38" t="s">
        <v>79</v>
      </c>
      <c r="H1" s="38"/>
      <c r="J1" t="s">
        <v>42</v>
      </c>
      <c r="L1">
        <v>1070000</v>
      </c>
      <c r="M1" s="10">
        <f>(L1-L2)/L2</f>
        <v>8.7112233670202655E-2</v>
      </c>
      <c r="N1" t="s">
        <v>77</v>
      </c>
    </row>
    <row r="2" spans="1:15" x14ac:dyDescent="0.35">
      <c r="F2" s="37"/>
      <c r="G2" s="38" t="s">
        <v>54</v>
      </c>
      <c r="H2" s="38"/>
      <c r="J2" t="s">
        <v>60</v>
      </c>
      <c r="L2">
        <v>984259</v>
      </c>
      <c r="M2" s="10">
        <f>(L2-L3)/L3</f>
        <v>0.15070772115774694</v>
      </c>
    </row>
    <row r="3" spans="1:15" x14ac:dyDescent="0.35">
      <c r="F3" s="37"/>
      <c r="G3" s="38" t="s">
        <v>55</v>
      </c>
      <c r="H3" s="38"/>
      <c r="J3" t="s">
        <v>68</v>
      </c>
      <c r="L3">
        <v>855351</v>
      </c>
      <c r="M3" s="10">
        <f>(L3-L4)/L4</f>
        <v>0.29438603181521028</v>
      </c>
    </row>
    <row r="4" spans="1:15" ht="12.5" customHeight="1" x14ac:dyDescent="0.35">
      <c r="F4" s="37"/>
      <c r="H4" s="38"/>
      <c r="J4" t="s">
        <v>69</v>
      </c>
      <c r="L4">
        <v>660816</v>
      </c>
      <c r="M4" s="10">
        <f>(L4-L5)/L5</f>
        <v>0.22549441419521385</v>
      </c>
    </row>
    <row r="5" spans="1:15" x14ac:dyDescent="0.35">
      <c r="F5" s="37"/>
      <c r="H5" s="38"/>
      <c r="J5" t="s">
        <v>70</v>
      </c>
      <c r="L5">
        <v>539224</v>
      </c>
    </row>
    <row r="6" spans="1:15" s="8" customFormat="1" ht="15.5" customHeight="1" x14ac:dyDescent="0.45">
      <c r="A6" s="7" t="s">
        <v>56</v>
      </c>
      <c r="B6" s="7"/>
      <c r="C6" s="9"/>
      <c r="E6" s="9"/>
      <c r="G6" s="9"/>
      <c r="I6" s="9"/>
      <c r="K6" s="12"/>
      <c r="M6" s="14"/>
    </row>
    <row r="7" spans="1:15" x14ac:dyDescent="0.35">
      <c r="B7" s="23">
        <v>2012</v>
      </c>
      <c r="C7" s="24" t="s">
        <v>17</v>
      </c>
      <c r="D7" s="39">
        <v>2013</v>
      </c>
      <c r="E7" s="46" t="s">
        <v>17</v>
      </c>
      <c r="F7" s="78" t="s">
        <v>60</v>
      </c>
      <c r="G7" s="79" t="s">
        <v>17</v>
      </c>
      <c r="H7" s="93" t="s">
        <v>42</v>
      </c>
      <c r="I7" s="67" t="s">
        <v>17</v>
      </c>
      <c r="J7" s="19" t="s">
        <v>43</v>
      </c>
      <c r="K7" s="20" t="s">
        <v>17</v>
      </c>
      <c r="L7" s="19" t="s">
        <v>57</v>
      </c>
      <c r="M7" s="21" t="s">
        <v>17</v>
      </c>
      <c r="N7" s="19" t="s">
        <v>58</v>
      </c>
      <c r="O7" s="21" t="s">
        <v>17</v>
      </c>
    </row>
    <row r="8" spans="1:15" ht="32.5" customHeight="1" x14ac:dyDescent="0.35">
      <c r="B8" s="23" t="s">
        <v>35</v>
      </c>
      <c r="C8" s="24"/>
      <c r="D8" s="40" t="s">
        <v>35</v>
      </c>
      <c r="E8" s="46"/>
      <c r="F8" s="78" t="s">
        <v>35</v>
      </c>
      <c r="G8" s="79"/>
      <c r="H8" s="137" t="s">
        <v>75</v>
      </c>
      <c r="I8" s="137"/>
      <c r="J8" s="22"/>
      <c r="K8" s="20"/>
      <c r="L8" s="22"/>
      <c r="M8" s="21"/>
      <c r="N8" s="22"/>
      <c r="O8" s="21"/>
    </row>
    <row r="9" spans="1:15" ht="15.5" x14ac:dyDescent="0.35">
      <c r="A9" s="4"/>
      <c r="B9" s="25"/>
      <c r="C9" s="24"/>
      <c r="D9" s="39"/>
      <c r="E9" s="46"/>
      <c r="F9" s="78"/>
      <c r="G9" s="79"/>
      <c r="H9" s="93"/>
      <c r="I9" s="67"/>
      <c r="J9" s="89"/>
      <c r="K9" s="57"/>
      <c r="L9" s="89"/>
      <c r="M9" s="58"/>
      <c r="N9" s="89"/>
      <c r="O9" s="58"/>
    </row>
    <row r="10" spans="1:15" x14ac:dyDescent="0.35">
      <c r="A10" s="3" t="s">
        <v>0</v>
      </c>
      <c r="B10" s="26">
        <v>642938</v>
      </c>
      <c r="C10" s="27">
        <v>1</v>
      </c>
      <c r="D10" s="41">
        <v>694648</v>
      </c>
      <c r="E10" s="90">
        <v>1</v>
      </c>
      <c r="F10" s="80">
        <v>984259</v>
      </c>
      <c r="G10" s="79">
        <v>1</v>
      </c>
      <c r="H10" s="62">
        <v>1070000</v>
      </c>
      <c r="I10" s="67">
        <v>1</v>
      </c>
      <c r="J10" s="55">
        <f>H10*1.085</f>
        <v>1160950</v>
      </c>
      <c r="K10" s="57">
        <v>1</v>
      </c>
      <c r="L10" s="55">
        <f>J10*1.05</f>
        <v>1218997.5</v>
      </c>
      <c r="M10" s="58">
        <v>1</v>
      </c>
      <c r="N10" s="55">
        <f>L10*1.05</f>
        <v>1279947.375</v>
      </c>
      <c r="O10" s="58">
        <v>1</v>
      </c>
    </row>
    <row r="11" spans="1:15" ht="11.25" customHeight="1" x14ac:dyDescent="0.35">
      <c r="B11" s="28"/>
      <c r="C11" s="27"/>
      <c r="D11" s="41"/>
      <c r="E11" s="47"/>
      <c r="F11" s="80"/>
      <c r="G11" s="79"/>
      <c r="H11" s="62"/>
      <c r="I11" s="67"/>
      <c r="J11" s="55"/>
      <c r="K11" s="57"/>
      <c r="L11" s="55"/>
      <c r="M11" s="58"/>
      <c r="N11" s="55"/>
      <c r="O11" s="58"/>
    </row>
    <row r="12" spans="1:15" x14ac:dyDescent="0.35">
      <c r="A12" s="3" t="s">
        <v>1</v>
      </c>
      <c r="B12" s="26"/>
      <c r="C12" s="27"/>
      <c r="D12" s="41"/>
      <c r="E12" s="47"/>
      <c r="F12" s="80"/>
      <c r="G12" s="79"/>
      <c r="H12" s="62"/>
      <c r="I12" s="67"/>
      <c r="J12" s="55"/>
      <c r="K12" s="57"/>
      <c r="L12" s="55"/>
      <c r="M12" s="58"/>
      <c r="N12" s="55"/>
      <c r="O12" s="58"/>
    </row>
    <row r="13" spans="1:15" x14ac:dyDescent="0.35">
      <c r="A13" t="s">
        <v>2</v>
      </c>
      <c r="B13" s="29">
        <v>187146</v>
      </c>
      <c r="C13" s="30">
        <f>B13/B10</f>
        <v>0.29107938868133476</v>
      </c>
      <c r="D13" s="42">
        <v>208883</v>
      </c>
      <c r="E13" s="48">
        <f>D13/D10</f>
        <v>0.30070337782589168</v>
      </c>
      <c r="F13" s="81">
        <v>226209</v>
      </c>
      <c r="G13" s="82">
        <f>F13/F10</f>
        <v>0.22982670211804007</v>
      </c>
      <c r="H13" s="63">
        <f>G13*H10</f>
        <v>245914.57126630287</v>
      </c>
      <c r="I13" s="68">
        <f>H13/H10</f>
        <v>0.22982670211804007</v>
      </c>
      <c r="J13" s="52">
        <f>0.3*J10</f>
        <v>348285</v>
      </c>
      <c r="K13" s="53">
        <f>J13/J10</f>
        <v>0.3</v>
      </c>
      <c r="L13" s="52">
        <f>0.3*L10</f>
        <v>365699.25</v>
      </c>
      <c r="M13" s="54">
        <f>L13/L10</f>
        <v>0.3</v>
      </c>
      <c r="N13" s="52">
        <f>0.3*N10</f>
        <v>383984.21249999997</v>
      </c>
      <c r="O13" s="54">
        <f>N13/N10</f>
        <v>0.3</v>
      </c>
    </row>
    <row r="14" spans="1:15" ht="8.25" customHeight="1" x14ac:dyDescent="0.35">
      <c r="B14" s="28"/>
      <c r="C14" s="27"/>
      <c r="D14" s="41"/>
      <c r="E14" s="47"/>
      <c r="F14" s="80"/>
      <c r="G14" s="79"/>
      <c r="H14" s="62"/>
      <c r="I14" s="67"/>
      <c r="J14" s="55"/>
      <c r="K14" s="57"/>
      <c r="L14" s="55"/>
      <c r="M14" s="58"/>
      <c r="N14" s="55"/>
      <c r="O14" s="58"/>
    </row>
    <row r="15" spans="1:15" x14ac:dyDescent="0.35">
      <c r="A15" s="3" t="s">
        <v>3</v>
      </c>
      <c r="B15" s="28">
        <f t="shared" ref="B15:O15" si="0">B10-B13</f>
        <v>455792</v>
      </c>
      <c r="C15" s="27">
        <f t="shared" si="0"/>
        <v>0.70892061131866524</v>
      </c>
      <c r="D15" s="41">
        <f t="shared" si="0"/>
        <v>485765</v>
      </c>
      <c r="E15" s="47">
        <f t="shared" si="0"/>
        <v>0.69929662217410837</v>
      </c>
      <c r="F15" s="80">
        <f t="shared" si="0"/>
        <v>758050</v>
      </c>
      <c r="G15" s="79">
        <f t="shared" si="0"/>
        <v>0.77017329788195998</v>
      </c>
      <c r="H15" s="62">
        <f t="shared" si="0"/>
        <v>824085.42873369716</v>
      </c>
      <c r="I15" s="67">
        <f t="shared" si="0"/>
        <v>0.77017329788195998</v>
      </c>
      <c r="J15" s="55">
        <f t="shared" si="0"/>
        <v>812665</v>
      </c>
      <c r="K15" s="57">
        <f t="shared" si="0"/>
        <v>0.7</v>
      </c>
      <c r="L15" s="55">
        <f>L10-L13</f>
        <v>853298.25</v>
      </c>
      <c r="M15" s="58">
        <f t="shared" si="0"/>
        <v>0.7</v>
      </c>
      <c r="N15" s="55">
        <f t="shared" si="0"/>
        <v>895963.16250000009</v>
      </c>
      <c r="O15" s="58">
        <f t="shared" si="0"/>
        <v>0.7</v>
      </c>
    </row>
    <row r="16" spans="1:15" ht="11.25" customHeight="1" x14ac:dyDescent="0.35">
      <c r="B16" s="28"/>
      <c r="C16" s="27"/>
      <c r="D16" s="41"/>
      <c r="E16" s="47"/>
      <c r="F16" s="80"/>
      <c r="G16" s="79"/>
      <c r="H16" s="62"/>
      <c r="I16" s="67"/>
      <c r="J16" s="55"/>
      <c r="K16" s="57"/>
      <c r="L16" s="55"/>
      <c r="M16" s="58"/>
      <c r="N16" s="55"/>
      <c r="O16" s="58"/>
    </row>
    <row r="17" spans="1:15" x14ac:dyDescent="0.35">
      <c r="A17" s="3" t="s">
        <v>4</v>
      </c>
      <c r="B17" s="26"/>
      <c r="C17" s="27"/>
      <c r="D17" s="41"/>
      <c r="E17" s="47"/>
      <c r="F17" s="80"/>
      <c r="G17" s="79"/>
      <c r="H17" s="62"/>
      <c r="I17" s="67"/>
      <c r="J17" s="55"/>
      <c r="K17" s="57"/>
      <c r="L17" s="55"/>
      <c r="M17" s="58"/>
      <c r="N17" s="55"/>
      <c r="O17" s="58"/>
    </row>
    <row r="18" spans="1:15" ht="5.25" customHeight="1" x14ac:dyDescent="0.35">
      <c r="B18" s="28"/>
      <c r="C18" s="27"/>
      <c r="D18" s="41"/>
      <c r="E18" s="47"/>
      <c r="F18" s="80"/>
      <c r="G18" s="79"/>
      <c r="H18" s="62"/>
      <c r="I18" s="67"/>
      <c r="J18" s="55"/>
      <c r="K18" s="57"/>
      <c r="L18" s="55"/>
      <c r="M18" s="58"/>
      <c r="N18" s="55"/>
      <c r="O18" s="58"/>
    </row>
    <row r="19" spans="1:15" x14ac:dyDescent="0.35">
      <c r="A19" t="s">
        <v>48</v>
      </c>
      <c r="B19" s="28">
        <v>74218</v>
      </c>
      <c r="C19" s="27">
        <f>B19/B10</f>
        <v>0.11543570297602568</v>
      </c>
      <c r="D19" s="41">
        <v>69339</v>
      </c>
      <c r="E19" s="47">
        <f>D19/D10</f>
        <v>9.9818901083714343E-2</v>
      </c>
      <c r="F19" s="80">
        <v>166000</v>
      </c>
      <c r="G19" s="79">
        <f>F19/F10</f>
        <v>0.16865479513014359</v>
      </c>
      <c r="H19" s="62">
        <v>166000</v>
      </c>
      <c r="I19" s="67">
        <f>H19/H10</f>
        <v>0.15514018691588785</v>
      </c>
      <c r="J19" s="55"/>
      <c r="K19" s="56">
        <f>J19/J10</f>
        <v>0</v>
      </c>
      <c r="L19" s="55"/>
      <c r="M19" s="56">
        <f>L19/L10</f>
        <v>0</v>
      </c>
      <c r="N19" s="55"/>
      <c r="O19" s="56">
        <f>N19/N10</f>
        <v>0</v>
      </c>
    </row>
    <row r="20" spans="1:15" x14ac:dyDescent="0.35">
      <c r="A20" t="s">
        <v>73</v>
      </c>
      <c r="B20" s="28">
        <v>215979</v>
      </c>
      <c r="C20" s="27">
        <f>B20/B10</f>
        <v>0.33592508142309213</v>
      </c>
      <c r="D20" s="41">
        <v>255614</v>
      </c>
      <c r="E20" s="47">
        <f>D20/D10</f>
        <v>0.36797629878729948</v>
      </c>
      <c r="F20" s="80">
        <f>418236-166000</f>
        <v>252236</v>
      </c>
      <c r="G20" s="79">
        <f>F20/F10</f>
        <v>0.25626994520751145</v>
      </c>
      <c r="H20" s="62">
        <f>758000-166000-H13</f>
        <v>346085.42873369716</v>
      </c>
      <c r="I20" s="67">
        <f>H20/H10</f>
        <v>0.32344432591934313</v>
      </c>
      <c r="J20" s="113">
        <f>0.16*J10</f>
        <v>185752</v>
      </c>
      <c r="K20" s="114">
        <f>J20/J10</f>
        <v>0.16</v>
      </c>
      <c r="L20" s="113">
        <f>0.16*L10</f>
        <v>195039.6</v>
      </c>
      <c r="M20" s="115">
        <f>L20/L10</f>
        <v>0.16</v>
      </c>
      <c r="N20" s="113">
        <f>0.16*N10</f>
        <v>204791.58000000002</v>
      </c>
      <c r="O20" s="115">
        <f>N20/N10</f>
        <v>0.16</v>
      </c>
    </row>
    <row r="21" spans="1:15" x14ac:dyDescent="0.35">
      <c r="A21" s="110" t="s">
        <v>74</v>
      </c>
      <c r="B21" s="28">
        <v>34929</v>
      </c>
      <c r="C21" s="30">
        <f>B21/B10</f>
        <v>5.4327166849680683E-2</v>
      </c>
      <c r="D21" s="41">
        <v>44488</v>
      </c>
      <c r="E21" s="48">
        <f>D21/D10</f>
        <v>6.4043947438126941E-2</v>
      </c>
      <c r="F21" s="81">
        <v>0</v>
      </c>
      <c r="G21" s="82">
        <f>F21/F10</f>
        <v>0</v>
      </c>
      <c r="H21" s="63"/>
      <c r="I21" s="68">
        <f>H21/H10</f>
        <v>0</v>
      </c>
      <c r="J21" s="117">
        <f>(0.14*J10)</f>
        <v>162533.00000000003</v>
      </c>
      <c r="K21" s="116">
        <f>J21/J10</f>
        <v>0.14000000000000001</v>
      </c>
      <c r="L21" s="117">
        <f>0.14*L10</f>
        <v>170659.65000000002</v>
      </c>
      <c r="M21" s="120">
        <f>L21/L10</f>
        <v>0.14000000000000001</v>
      </c>
      <c r="N21" s="117">
        <f>0.14*N10</f>
        <v>179192.63250000001</v>
      </c>
      <c r="O21" s="120">
        <f>N21/N10</f>
        <v>0.14000000000000001</v>
      </c>
    </row>
    <row r="22" spans="1:15" x14ac:dyDescent="0.35">
      <c r="B22" s="28"/>
      <c r="C22" s="27">
        <f>SUM(C19:C21)</f>
        <v>0.50568795124879851</v>
      </c>
      <c r="D22" s="41"/>
      <c r="E22" s="47">
        <f>SUM(E19:E21)</f>
        <v>0.53183914730914073</v>
      </c>
      <c r="F22" s="80">
        <f>SUM(F19:F21)</f>
        <v>418236</v>
      </c>
      <c r="G22" s="79">
        <f>SUM(G19:G21)</f>
        <v>0.42492474033765504</v>
      </c>
      <c r="H22" s="62">
        <f>SUM(H19:H21)</f>
        <v>512085.42873369716</v>
      </c>
      <c r="I22" s="67">
        <f>SUM(I19:I21)</f>
        <v>0.47858451283523096</v>
      </c>
      <c r="J22" s="55">
        <f>SUM(J20:J21)</f>
        <v>348285</v>
      </c>
      <c r="K22" s="57">
        <f>SUM(K19:K21)</f>
        <v>0.30000000000000004</v>
      </c>
      <c r="L22" s="55">
        <f>SUM(L20:L21)</f>
        <v>365699.25</v>
      </c>
      <c r="M22" s="58"/>
      <c r="N22" s="55">
        <f>SUM(N20:N21)</f>
        <v>383984.21250000002</v>
      </c>
      <c r="O22" s="58"/>
    </row>
    <row r="23" spans="1:15" x14ac:dyDescent="0.35">
      <c r="A23" s="3" t="s">
        <v>14</v>
      </c>
      <c r="B23" s="26"/>
      <c r="C23" s="27"/>
      <c r="D23" s="41"/>
      <c r="E23" s="47"/>
      <c r="F23" s="80"/>
      <c r="G23" s="79"/>
      <c r="H23" s="62"/>
      <c r="I23" s="67"/>
      <c r="J23" s="55"/>
      <c r="K23" s="57"/>
      <c r="L23" s="55"/>
      <c r="M23" s="58"/>
      <c r="N23" s="55"/>
      <c r="O23" s="58"/>
    </row>
    <row r="24" spans="1:15" x14ac:dyDescent="0.35">
      <c r="A24" t="s">
        <v>13</v>
      </c>
      <c r="B24" s="28">
        <v>9002</v>
      </c>
      <c r="C24" s="27">
        <f>B24/B10</f>
        <v>1.400135005241563E-2</v>
      </c>
      <c r="D24" s="41">
        <v>10302</v>
      </c>
      <c r="E24" s="47">
        <f>D24/D10</f>
        <v>1.4830532874203913E-2</v>
      </c>
      <c r="F24" s="80">
        <v>5521</v>
      </c>
      <c r="G24" s="79">
        <f>F24/F10</f>
        <v>5.6092959271898963E-3</v>
      </c>
      <c r="H24" s="62">
        <v>6000</v>
      </c>
      <c r="I24" s="67">
        <f>H24/H10</f>
        <v>5.6074766355140183E-3</v>
      </c>
      <c r="J24" s="121">
        <f>F24+5000</f>
        <v>10521</v>
      </c>
      <c r="K24" s="114">
        <f>J24/J10</f>
        <v>9.0624057883629781E-3</v>
      </c>
      <c r="L24" s="113">
        <f>0.005*L10</f>
        <v>6094.9875000000002</v>
      </c>
      <c r="M24" s="115">
        <f>L24/L10</f>
        <v>5.0000000000000001E-3</v>
      </c>
      <c r="N24" s="113">
        <f>0.005*N10</f>
        <v>6399.7368750000005</v>
      </c>
      <c r="O24" s="115">
        <f>N24/N10</f>
        <v>5.0000000000000001E-3</v>
      </c>
    </row>
    <row r="25" spans="1:15" x14ac:dyDescent="0.35">
      <c r="A25" t="s">
        <v>5</v>
      </c>
      <c r="B25" s="28">
        <f>3980+460</f>
        <v>4440</v>
      </c>
      <c r="C25" s="27">
        <f>B25/B10</f>
        <v>6.9057980707315477E-3</v>
      </c>
      <c r="D25" s="41">
        <f>500+2411</f>
        <v>2911</v>
      </c>
      <c r="E25" s="47">
        <f>D25/D10</f>
        <v>4.1906116479137638E-3</v>
      </c>
      <c r="F25" s="80">
        <v>10034</v>
      </c>
      <c r="G25" s="79">
        <f>F25/F10</f>
        <v>1.0194471170697956E-2</v>
      </c>
      <c r="H25" s="62">
        <v>14000</v>
      </c>
      <c r="I25" s="67">
        <f>H25/H10</f>
        <v>1.3084112149532711E-2</v>
      </c>
      <c r="J25" s="113">
        <f>0.01*J10</f>
        <v>11609.5</v>
      </c>
      <c r="K25" s="114">
        <f>J25/J10</f>
        <v>0.01</v>
      </c>
      <c r="L25" s="113">
        <f>0.01*L10</f>
        <v>12189.975</v>
      </c>
      <c r="M25" s="115">
        <f>L25/L10</f>
        <v>0.01</v>
      </c>
      <c r="N25" s="113">
        <f>0.01*N10</f>
        <v>12799.473750000001</v>
      </c>
      <c r="O25" s="115">
        <f>N25/N10</f>
        <v>0.01</v>
      </c>
    </row>
    <row r="26" spans="1:15" x14ac:dyDescent="0.35">
      <c r="A26" t="s">
        <v>72</v>
      </c>
      <c r="B26" s="28"/>
      <c r="C26" s="27">
        <f>B26/B10</f>
        <v>0</v>
      </c>
      <c r="D26" s="41">
        <v>0</v>
      </c>
      <c r="E26" s="47">
        <f>D26/D10</f>
        <v>0</v>
      </c>
      <c r="F26" s="80">
        <v>7276</v>
      </c>
      <c r="G26" s="79">
        <f>F26/F10</f>
        <v>7.3923631889573783E-3</v>
      </c>
      <c r="H26" s="62">
        <v>4000</v>
      </c>
      <c r="I26" s="67">
        <f>H26/H10</f>
        <v>3.7383177570093459E-3</v>
      </c>
      <c r="J26" s="55">
        <f>J10*0.002</f>
        <v>2321.9</v>
      </c>
      <c r="K26" s="57">
        <f>J26/J10</f>
        <v>2E-3</v>
      </c>
      <c r="L26" s="55">
        <f>L10*0.002</f>
        <v>2437.9949999999999</v>
      </c>
      <c r="M26" s="56">
        <f>L26/L10</f>
        <v>2E-3</v>
      </c>
      <c r="N26" s="55">
        <f>N10*0.002</f>
        <v>2559.8947499999999</v>
      </c>
      <c r="O26" s="56">
        <f>N26/N10</f>
        <v>2E-3</v>
      </c>
    </row>
    <row r="27" spans="1:15" x14ac:dyDescent="0.35">
      <c r="A27" t="s">
        <v>65</v>
      </c>
      <c r="B27" s="28">
        <v>4898</v>
      </c>
      <c r="C27" s="27">
        <f>B27/B10</f>
        <v>7.6181529167664687E-3</v>
      </c>
      <c r="D27" s="41">
        <v>5060</v>
      </c>
      <c r="E27" s="47">
        <f>D27/D10</f>
        <v>7.284264836291186E-3</v>
      </c>
      <c r="F27" s="80">
        <f>6921+12629</f>
        <v>19550</v>
      </c>
      <c r="G27" s="79">
        <f>F27/F10</f>
        <v>1.9862658101170525E-2</v>
      </c>
      <c r="H27" s="62">
        <v>18000</v>
      </c>
      <c r="I27" s="67">
        <f>H27/H10</f>
        <v>1.6822429906542057E-2</v>
      </c>
      <c r="J27" s="55">
        <v>9000</v>
      </c>
      <c r="K27" s="57">
        <f>J27/J10</f>
        <v>7.752271846332745E-3</v>
      </c>
      <c r="L27" s="55">
        <v>9000</v>
      </c>
      <c r="M27" s="56">
        <f>L27/L10</f>
        <v>7.3831160441264233E-3</v>
      </c>
      <c r="N27" s="55">
        <v>9000</v>
      </c>
      <c r="O27" s="56">
        <f>N27/N10</f>
        <v>7.0315390896442129E-3</v>
      </c>
    </row>
    <row r="28" spans="1:15" x14ac:dyDescent="0.35">
      <c r="B28" s="28">
        <v>311</v>
      </c>
      <c r="C28" s="27">
        <f>B28/B10</f>
        <v>4.8371693693637644E-4</v>
      </c>
      <c r="D28" s="41">
        <v>1763</v>
      </c>
      <c r="E28" s="47">
        <f>D28/D10</f>
        <v>2.5379760684548147E-3</v>
      </c>
      <c r="F28" s="80"/>
      <c r="G28" s="79">
        <f>F28/F10</f>
        <v>0</v>
      </c>
      <c r="H28" s="62"/>
      <c r="I28" s="67">
        <f>H28/H10</f>
        <v>0</v>
      </c>
      <c r="J28" s="55"/>
      <c r="K28" s="57">
        <f>J28/J10</f>
        <v>0</v>
      </c>
      <c r="L28" s="55"/>
      <c r="M28" s="58">
        <f>L28/L10</f>
        <v>0</v>
      </c>
      <c r="N28" s="55"/>
      <c r="O28" s="58">
        <f>N28/N10</f>
        <v>0</v>
      </c>
    </row>
    <row r="29" spans="1:15" x14ac:dyDescent="0.35">
      <c r="A29" t="s">
        <v>71</v>
      </c>
      <c r="B29" s="28"/>
      <c r="C29" s="27">
        <f>B29/B10</f>
        <v>0</v>
      </c>
      <c r="D29" s="41">
        <v>0</v>
      </c>
      <c r="E29" s="47">
        <f>D29/D10</f>
        <v>0</v>
      </c>
      <c r="F29" s="80"/>
      <c r="G29" s="79">
        <f>F29/F10</f>
        <v>0</v>
      </c>
      <c r="H29" s="62">
        <v>0</v>
      </c>
      <c r="I29" s="67">
        <f>H29/H10</f>
        <v>0</v>
      </c>
      <c r="J29" s="113">
        <v>27926</v>
      </c>
      <c r="K29" s="114">
        <f>J29/J10</f>
        <v>2.4054438175632027E-2</v>
      </c>
      <c r="L29" s="113">
        <v>24115</v>
      </c>
      <c r="M29" s="119">
        <f>L29/L10</f>
        <v>1.9782649267123191E-2</v>
      </c>
      <c r="N29" s="113">
        <v>20118</v>
      </c>
      <c r="O29" s="58">
        <f>N29/N10</f>
        <v>1.5717833711718032E-2</v>
      </c>
    </row>
    <row r="30" spans="1:15" x14ac:dyDescent="0.35">
      <c r="A30" t="s">
        <v>44</v>
      </c>
      <c r="B30" s="28">
        <v>12072</v>
      </c>
      <c r="C30" s="27"/>
      <c r="D30" s="41">
        <v>12850</v>
      </c>
      <c r="E30" s="47"/>
      <c r="F30" s="80">
        <v>13419</v>
      </c>
      <c r="G30" s="79">
        <f>F30/F10</f>
        <v>1.3633606601514438E-2</v>
      </c>
      <c r="H30" s="62">
        <v>16000</v>
      </c>
      <c r="I30" s="67">
        <f>H30/H10</f>
        <v>1.4953271028037384E-2</v>
      </c>
      <c r="J30" s="55">
        <f>J10*0.004</f>
        <v>4643.8</v>
      </c>
      <c r="K30" s="57">
        <f>J30/J10</f>
        <v>4.0000000000000001E-3</v>
      </c>
      <c r="L30" s="55">
        <f>L10*0.004</f>
        <v>4875.99</v>
      </c>
      <c r="M30" s="56">
        <f>L30/L10</f>
        <v>4.0000000000000001E-3</v>
      </c>
      <c r="N30" s="55">
        <f>N10*0.004</f>
        <v>5119.7894999999999</v>
      </c>
      <c r="O30" s="56">
        <f>N30/N10</f>
        <v>4.0000000000000001E-3</v>
      </c>
    </row>
    <row r="31" spans="1:15" x14ac:dyDescent="0.35">
      <c r="A31" t="s">
        <v>81</v>
      </c>
      <c r="B31" s="28">
        <v>1469</v>
      </c>
      <c r="C31" s="27">
        <f>B31/B10</f>
        <v>2.2848237310596044E-3</v>
      </c>
      <c r="D31" s="41">
        <v>1348</v>
      </c>
      <c r="E31" s="47">
        <f>D31/D10</f>
        <v>1.9405511856364663E-3</v>
      </c>
      <c r="F31" s="80"/>
      <c r="G31" s="79">
        <f>F31/F10</f>
        <v>0</v>
      </c>
      <c r="H31" s="62"/>
      <c r="I31" s="67">
        <f>H31/H10</f>
        <v>0</v>
      </c>
      <c r="J31" s="55">
        <v>1500</v>
      </c>
      <c r="K31" s="57">
        <f>J31/J10</f>
        <v>1.2920453077221242E-3</v>
      </c>
      <c r="L31" s="55">
        <v>1500</v>
      </c>
      <c r="M31" s="58">
        <f>L31/L10</f>
        <v>1.2305193406877374E-3</v>
      </c>
      <c r="N31" s="55">
        <v>1500</v>
      </c>
      <c r="O31" s="58">
        <f>N31/N10</f>
        <v>1.1719231816073687E-3</v>
      </c>
    </row>
    <row r="32" spans="1:15" x14ac:dyDescent="0.35">
      <c r="A32" t="s">
        <v>12</v>
      </c>
      <c r="B32" s="28">
        <f>10288+4247</f>
        <v>14535</v>
      </c>
      <c r="C32" s="27">
        <f>B32/B10</f>
        <v>2.2607156522090777E-2</v>
      </c>
      <c r="D32" s="41">
        <f>4219+11411</f>
        <v>15630</v>
      </c>
      <c r="E32" s="47">
        <f>D32/D10</f>
        <v>2.2500604622772973E-2</v>
      </c>
      <c r="F32" s="80">
        <v>10882</v>
      </c>
      <c r="G32" s="79">
        <f>F32/F10</f>
        <v>1.1056033015700135E-2</v>
      </c>
      <c r="H32" s="62">
        <v>14000</v>
      </c>
      <c r="I32" s="67">
        <f>H32/H10</f>
        <v>1.3084112149532711E-2</v>
      </c>
      <c r="J32" s="55">
        <f>0.01*J10</f>
        <v>11609.5</v>
      </c>
      <c r="K32" s="57">
        <f>J32/J10</f>
        <v>0.01</v>
      </c>
      <c r="L32" s="55">
        <f>0.01*L10</f>
        <v>12189.975</v>
      </c>
      <c r="M32" s="58">
        <f>L32/L10</f>
        <v>0.01</v>
      </c>
      <c r="N32" s="55">
        <f>0.01*N10</f>
        <v>12799.473750000001</v>
      </c>
      <c r="O32" s="58">
        <f>N32/N10</f>
        <v>0.01</v>
      </c>
    </row>
    <row r="33" spans="1:15" x14ac:dyDescent="0.35">
      <c r="A33" t="s">
        <v>7</v>
      </c>
      <c r="B33" s="31">
        <v>1316</v>
      </c>
      <c r="C33" s="30">
        <f>B33/B10</f>
        <v>2.0468536624060176E-3</v>
      </c>
      <c r="D33" s="42">
        <v>1360</v>
      </c>
      <c r="E33" s="48">
        <f>D33/D10</f>
        <v>1.9578261220071173E-3</v>
      </c>
      <c r="F33" s="81">
        <v>191</v>
      </c>
      <c r="G33" s="82">
        <f>F33/F10</f>
        <v>1.9405461367383992E-4</v>
      </c>
      <c r="H33" s="63">
        <v>0</v>
      </c>
      <c r="I33" s="68">
        <f>H33/H10</f>
        <v>0</v>
      </c>
      <c r="J33" s="117">
        <v>1350</v>
      </c>
      <c r="K33" s="116">
        <f>J33/J10</f>
        <v>1.1628407769499118E-3</v>
      </c>
      <c r="L33" s="117">
        <v>1350</v>
      </c>
      <c r="M33" s="118">
        <f>L33/L10</f>
        <v>1.1074674066189635E-3</v>
      </c>
      <c r="N33" s="117">
        <v>1350</v>
      </c>
      <c r="O33" s="54">
        <f>N33/N10</f>
        <v>1.0547308634466319E-3</v>
      </c>
    </row>
    <row r="34" spans="1:15" s="3" customFormat="1" x14ac:dyDescent="0.35">
      <c r="A34" s="3" t="s">
        <v>10</v>
      </c>
      <c r="B34" s="26">
        <f>SUM(B24:B33)</f>
        <v>48043</v>
      </c>
      <c r="C34" s="32">
        <f>B34/B10</f>
        <v>7.4724156917152201E-2</v>
      </c>
      <c r="D34" s="43">
        <f>SUM(D24:D33)</f>
        <v>51224</v>
      </c>
      <c r="E34" s="49">
        <f>D34/D10</f>
        <v>7.3740945054185714E-2</v>
      </c>
      <c r="F34" s="83">
        <f>SUM(F24:F33)</f>
        <v>66873</v>
      </c>
      <c r="G34" s="84">
        <f>F33:F34/F10</f>
        <v>6.7942482618904176E-2</v>
      </c>
      <c r="H34" s="64">
        <f>SUM(H24:H33)</f>
        <v>72000</v>
      </c>
      <c r="I34" s="69">
        <f>H33:H34/H10</f>
        <v>6.7289719626168226E-2</v>
      </c>
      <c r="J34" s="59">
        <f>SUM(J24:J33)</f>
        <v>80481.7</v>
      </c>
      <c r="K34" s="60">
        <f>J33:J34/J10</f>
        <v>6.9324001894999779E-2</v>
      </c>
      <c r="L34" s="59">
        <f>SUM(L24:L33)</f>
        <v>73753.922500000001</v>
      </c>
      <c r="M34" s="61">
        <f>L33:L34/L10</f>
        <v>6.0503752058556313E-2</v>
      </c>
      <c r="N34" s="59">
        <f>SUM(N24:N33)</f>
        <v>71646.368625000003</v>
      </c>
      <c r="O34" s="61">
        <f>N33:N34/N10</f>
        <v>5.5976026846416248E-2</v>
      </c>
    </row>
    <row r="35" spans="1:15" x14ac:dyDescent="0.35">
      <c r="B35" s="28"/>
      <c r="C35" s="27"/>
      <c r="D35" s="41"/>
      <c r="E35" s="47"/>
      <c r="F35" s="80"/>
      <c r="G35" s="79"/>
      <c r="H35" s="62"/>
      <c r="I35" s="67"/>
      <c r="J35" s="55"/>
      <c r="K35" s="57"/>
      <c r="L35" s="55"/>
      <c r="M35" s="58"/>
      <c r="N35" s="55"/>
      <c r="O35" s="58"/>
    </row>
    <row r="36" spans="1:15" x14ac:dyDescent="0.35">
      <c r="B36" s="23">
        <v>2012</v>
      </c>
      <c r="C36" s="24" t="s">
        <v>17</v>
      </c>
      <c r="D36" s="39">
        <v>2013</v>
      </c>
      <c r="E36" s="46" t="s">
        <v>17</v>
      </c>
      <c r="F36" s="78" t="s">
        <v>60</v>
      </c>
      <c r="G36" s="79" t="s">
        <v>17</v>
      </c>
      <c r="H36" s="93" t="s">
        <v>42</v>
      </c>
      <c r="I36" s="67" t="s">
        <v>17</v>
      </c>
      <c r="J36" s="19" t="s">
        <v>43</v>
      </c>
      <c r="K36" s="20" t="s">
        <v>17</v>
      </c>
      <c r="L36" s="19" t="s">
        <v>57</v>
      </c>
      <c r="M36" s="21" t="s">
        <v>17</v>
      </c>
      <c r="N36" s="19" t="s">
        <v>58</v>
      </c>
      <c r="O36" s="21" t="s">
        <v>17</v>
      </c>
    </row>
    <row r="37" spans="1:15" x14ac:dyDescent="0.35">
      <c r="A37" s="3" t="s">
        <v>15</v>
      </c>
      <c r="B37" s="26"/>
      <c r="C37" s="27"/>
      <c r="D37" s="41"/>
      <c r="E37" s="47"/>
      <c r="F37" s="80"/>
      <c r="G37" s="79"/>
      <c r="H37" s="62"/>
      <c r="I37" s="67"/>
      <c r="J37" s="22"/>
      <c r="K37" s="20"/>
      <c r="L37" s="22"/>
      <c r="M37" s="21"/>
      <c r="N37" s="22"/>
      <c r="O37" s="21"/>
    </row>
    <row r="38" spans="1:15" x14ac:dyDescent="0.35">
      <c r="A38" t="s">
        <v>6</v>
      </c>
      <c r="B38" s="28">
        <v>47401</v>
      </c>
      <c r="C38" s="27">
        <f>B38/B10</f>
        <v>7.3725615844762643E-2</v>
      </c>
      <c r="D38" s="41">
        <v>55290</v>
      </c>
      <c r="E38" s="47">
        <f>D38/D10</f>
        <v>7.9594269327774636E-2</v>
      </c>
      <c r="F38" s="80">
        <v>30746</v>
      </c>
      <c r="G38" s="79">
        <f>F38/F10</f>
        <v>3.1237712837779485E-2</v>
      </c>
      <c r="H38" s="62">
        <v>34000</v>
      </c>
      <c r="I38" s="67">
        <f>H38/H10</f>
        <v>3.1775700934579439E-2</v>
      </c>
      <c r="J38" s="113">
        <f>H38</f>
        <v>34000</v>
      </c>
      <c r="K38" s="114">
        <f>J38/J10</f>
        <v>2.9286360308368148E-2</v>
      </c>
      <c r="L38" s="113">
        <f>H38</f>
        <v>34000</v>
      </c>
      <c r="M38" s="119">
        <f>L38/L10</f>
        <v>2.7891771722255376E-2</v>
      </c>
      <c r="N38" s="113">
        <f>H38</f>
        <v>34000</v>
      </c>
      <c r="O38" s="58">
        <f>N38/N10</f>
        <v>2.6563592116433693E-2</v>
      </c>
    </row>
    <row r="39" spans="1:15" x14ac:dyDescent="0.35">
      <c r="A39" t="s">
        <v>8</v>
      </c>
      <c r="B39" s="28">
        <v>11533</v>
      </c>
      <c r="C39" s="27">
        <f>B39/B10</f>
        <v>1.793796602471778E-2</v>
      </c>
      <c r="D39" s="41">
        <v>5696</v>
      </c>
      <c r="E39" s="47">
        <f>D39/D10</f>
        <v>8.1998364639356905E-3</v>
      </c>
      <c r="F39" s="80">
        <v>8866</v>
      </c>
      <c r="G39" s="79">
        <f>F39/F10</f>
        <v>9.0077916483364637E-3</v>
      </c>
      <c r="H39" s="62">
        <v>2000</v>
      </c>
      <c r="I39" s="67">
        <f>H39/H10</f>
        <v>1.869158878504673E-3</v>
      </c>
      <c r="J39" s="55">
        <f>0.005*J10</f>
        <v>5804.75</v>
      </c>
      <c r="K39" s="57">
        <f>J39/J10</f>
        <v>5.0000000000000001E-3</v>
      </c>
      <c r="L39" s="55">
        <f>0.005*L10</f>
        <v>6094.9875000000002</v>
      </c>
      <c r="M39" s="56">
        <f>L39/L10</f>
        <v>5.0000000000000001E-3</v>
      </c>
      <c r="N39" s="55">
        <f>0.005*N10</f>
        <v>6399.7368750000005</v>
      </c>
      <c r="O39" s="56">
        <f>N39/N10</f>
        <v>5.0000000000000001E-3</v>
      </c>
    </row>
    <row r="40" spans="1:15" x14ac:dyDescent="0.35">
      <c r="A40" t="s">
        <v>59</v>
      </c>
      <c r="B40" s="28">
        <v>12569</v>
      </c>
      <c r="C40" s="27">
        <f>B40/B10</f>
        <v>1.9549318907888476E-2</v>
      </c>
      <c r="D40" s="41">
        <v>12569</v>
      </c>
      <c r="E40" s="47">
        <f>D40/D10</f>
        <v>1.8094056270226071E-2</v>
      </c>
      <c r="F40" s="80">
        <v>0</v>
      </c>
      <c r="G40" s="79">
        <f>F40/F10</f>
        <v>0</v>
      </c>
      <c r="H40" s="62"/>
      <c r="I40" s="67">
        <f>H40/H10</f>
        <v>0</v>
      </c>
      <c r="J40" s="55">
        <f>0.0035*J10</f>
        <v>4063.3250000000003</v>
      </c>
      <c r="K40" s="57">
        <f>J40/J10</f>
        <v>3.5000000000000001E-3</v>
      </c>
      <c r="L40" s="55">
        <f>0.0035*L10</f>
        <v>4266.49125</v>
      </c>
      <c r="M40" s="56">
        <f>L40/L10</f>
        <v>3.5000000000000001E-3</v>
      </c>
      <c r="N40" s="55">
        <f>0.0035*N10</f>
        <v>4479.8158125</v>
      </c>
      <c r="O40" s="56">
        <f>N40/N10</f>
        <v>3.5000000000000001E-3</v>
      </c>
    </row>
    <row r="41" spans="1:15" x14ac:dyDescent="0.35">
      <c r="A41" t="s">
        <v>63</v>
      </c>
      <c r="B41" s="28">
        <v>2954</v>
      </c>
      <c r="C41" s="27">
        <f>B41/B10</f>
        <v>4.5945332209326563E-3</v>
      </c>
      <c r="D41" s="41">
        <v>1963</v>
      </c>
      <c r="E41" s="47">
        <f>D41/D10</f>
        <v>2.8258916746323318E-3</v>
      </c>
      <c r="F41" s="80">
        <v>10932</v>
      </c>
      <c r="G41" s="79">
        <f>F41/F10</f>
        <v>1.1106832652787528E-2</v>
      </c>
      <c r="H41" s="62">
        <v>10000</v>
      </c>
      <c r="I41" s="67">
        <f>H41/H10</f>
        <v>9.3457943925233638E-3</v>
      </c>
      <c r="J41" s="55">
        <f>0.007*J10</f>
        <v>8126.6500000000005</v>
      </c>
      <c r="K41" s="57">
        <f>J41/J10</f>
        <v>7.0000000000000001E-3</v>
      </c>
      <c r="L41" s="55">
        <f>0.007*L10</f>
        <v>8532.9825000000001</v>
      </c>
      <c r="M41" s="56">
        <f>L41/L10</f>
        <v>7.0000000000000001E-3</v>
      </c>
      <c r="N41" s="55">
        <f>0.007*N10</f>
        <v>8959.631625</v>
      </c>
      <c r="O41" s="56">
        <f>N41/N10</f>
        <v>7.0000000000000001E-3</v>
      </c>
    </row>
    <row r="42" spans="1:15" x14ac:dyDescent="0.35">
      <c r="A42" t="s">
        <v>64</v>
      </c>
      <c r="B42" s="31">
        <v>6494</v>
      </c>
      <c r="C42" s="30">
        <f>B42/B10</f>
        <v>1.0100507358407809E-2</v>
      </c>
      <c r="D42" s="42">
        <v>5664</v>
      </c>
      <c r="E42" s="48">
        <f>D42/D10</f>
        <v>8.1537699669472878E-3</v>
      </c>
      <c r="F42" s="81">
        <v>3591</v>
      </c>
      <c r="G42" s="82">
        <f>F42/F10</f>
        <v>3.6484299356165399E-3</v>
      </c>
      <c r="H42" s="63">
        <v>0</v>
      </c>
      <c r="I42" s="68">
        <f>H42/H10</f>
        <v>0</v>
      </c>
      <c r="J42" s="117">
        <v>3900</v>
      </c>
      <c r="K42" s="116">
        <f>J42/J10</f>
        <v>3.3593178000775226E-3</v>
      </c>
      <c r="L42" s="117">
        <v>4000</v>
      </c>
      <c r="M42" s="120">
        <f>L42/L10</f>
        <v>3.2813849085006328E-3</v>
      </c>
      <c r="N42" s="117">
        <v>4100</v>
      </c>
      <c r="O42" s="120">
        <f>N42/N10</f>
        <v>3.2032566963934748E-3</v>
      </c>
    </row>
    <row r="43" spans="1:15" s="3" customFormat="1" x14ac:dyDescent="0.35">
      <c r="A43" s="3" t="s">
        <v>11</v>
      </c>
      <c r="B43" s="26">
        <f>SUM(B38:B42)</f>
        <v>80951</v>
      </c>
      <c r="C43" s="32">
        <f>B43/B10</f>
        <v>0.12590794135670935</v>
      </c>
      <c r="D43" s="43">
        <f>SUM(D38:D42)</f>
        <v>81182</v>
      </c>
      <c r="E43" s="49">
        <f>D43/D10</f>
        <v>0.11686782370351602</v>
      </c>
      <c r="F43" s="83">
        <f>SUM(F38:F42)</f>
        <v>54135</v>
      </c>
      <c r="G43" s="84">
        <f>F43/F10</f>
        <v>5.5000767074520021E-2</v>
      </c>
      <c r="H43" s="64">
        <f>SUM(H38:H42)</f>
        <v>46000</v>
      </c>
      <c r="I43" s="69">
        <f>H43/H10</f>
        <v>4.2990654205607479E-2</v>
      </c>
      <c r="J43" s="59">
        <f>SUM(J38:J42)</f>
        <v>55894.724999999999</v>
      </c>
      <c r="K43" s="60">
        <f>J43/J10</f>
        <v>4.8145678108445666E-2</v>
      </c>
      <c r="L43" s="59">
        <f>SUM(L38:L42)</f>
        <v>56894.46125</v>
      </c>
      <c r="M43" s="61">
        <f>L43/L10</f>
        <v>4.667315663075601E-2</v>
      </c>
      <c r="N43" s="59">
        <f>SUM(N38:N42)</f>
        <v>57939.184312500001</v>
      </c>
      <c r="O43" s="61">
        <f>N43/N10</f>
        <v>4.5266848812827172E-2</v>
      </c>
    </row>
    <row r="44" spans="1:15" s="105" customFormat="1" ht="31" customHeight="1" x14ac:dyDescent="0.35">
      <c r="A44" s="107" t="s">
        <v>47</v>
      </c>
      <c r="B44" s="94">
        <f>B15-B19-B20-B21-B34-B43</f>
        <v>1672</v>
      </c>
      <c r="C44" s="95"/>
      <c r="D44" s="96">
        <f>D15-D19-D20-D21-D34-D43</f>
        <v>-16082</v>
      </c>
      <c r="E44" s="97"/>
      <c r="F44" s="98">
        <f>F15-F19-F20-F21-F34-F43</f>
        <v>218806</v>
      </c>
      <c r="G44" s="99"/>
      <c r="H44" s="100">
        <f>H15-H19-H20-H21-H34-H43</f>
        <v>194000</v>
      </c>
      <c r="I44" s="101"/>
      <c r="J44" s="102">
        <f>J15-J19-J20-J21-J34-J43</f>
        <v>328003.57500000001</v>
      </c>
      <c r="K44" s="103"/>
      <c r="L44" s="102">
        <f>L15-L19-L20-L21-L34-L43</f>
        <v>356950.61625000002</v>
      </c>
      <c r="M44" s="104"/>
      <c r="N44" s="102">
        <f>N15-N19-N20-N21-N34-N43</f>
        <v>382393.39706250001</v>
      </c>
      <c r="O44" s="104"/>
    </row>
    <row r="45" spans="1:15" x14ac:dyDescent="0.35">
      <c r="A45" t="s">
        <v>66</v>
      </c>
      <c r="B45" s="28"/>
      <c r="C45" s="27"/>
      <c r="D45" s="41"/>
      <c r="E45" s="47"/>
      <c r="F45" s="80">
        <v>3746</v>
      </c>
      <c r="G45" s="79"/>
      <c r="H45" s="62"/>
      <c r="I45" s="67"/>
      <c r="J45" s="55">
        <v>0</v>
      </c>
      <c r="K45" s="57"/>
      <c r="L45" s="55">
        <v>0</v>
      </c>
      <c r="M45" s="58"/>
      <c r="N45" s="55">
        <v>0</v>
      </c>
      <c r="O45" s="58"/>
    </row>
    <row r="46" spans="1:15" x14ac:dyDescent="0.35">
      <c r="A46" t="s">
        <v>67</v>
      </c>
      <c r="B46" s="28"/>
      <c r="C46" s="27"/>
      <c r="D46" s="41"/>
      <c r="E46" s="47"/>
      <c r="F46" s="80">
        <v>27724</v>
      </c>
      <c r="G46" s="79"/>
      <c r="H46" s="62"/>
      <c r="I46" s="67"/>
      <c r="J46" s="55"/>
      <c r="K46" s="57"/>
      <c r="L46" s="55"/>
      <c r="M46" s="58"/>
      <c r="N46" s="55"/>
      <c r="O46" s="58"/>
    </row>
    <row r="47" spans="1:15" x14ac:dyDescent="0.35">
      <c r="A47" t="s">
        <v>9</v>
      </c>
      <c r="B47" s="28">
        <v>3682</v>
      </c>
      <c r="C47" s="27">
        <v>1.2E-2</v>
      </c>
      <c r="D47" s="41">
        <v>3193</v>
      </c>
      <c r="E47" s="47">
        <v>1.2E-2</v>
      </c>
      <c r="F47" s="80">
        <v>18672</v>
      </c>
      <c r="G47" s="79">
        <f>F47/F10</f>
        <v>1.8970616473915909E-2</v>
      </c>
      <c r="H47" s="62">
        <f>F47*0.95</f>
        <v>17738.399999999998</v>
      </c>
      <c r="I47" s="67">
        <f>H47/H10</f>
        <v>1.6577943925233644E-2</v>
      </c>
      <c r="J47" s="55">
        <f>H47*0.95</f>
        <v>16851.479999999996</v>
      </c>
      <c r="K47" s="57">
        <f>J47/J10</f>
        <v>1.451525044144881E-2</v>
      </c>
      <c r="L47" s="55">
        <f>J47*0.95</f>
        <v>16008.905999999995</v>
      </c>
      <c r="M47" s="58">
        <f>L47/L10</f>
        <v>1.3132845637501304E-2</v>
      </c>
      <c r="N47" s="55">
        <f>L47*0.95</f>
        <v>15208.460699999994</v>
      </c>
      <c r="O47" s="58">
        <f>N47/N10</f>
        <v>1.188209843392975E-2</v>
      </c>
    </row>
    <row r="48" spans="1:15" x14ac:dyDescent="0.35">
      <c r="B48" s="31">
        <v>0</v>
      </c>
      <c r="C48" s="30">
        <f>B48/B10</f>
        <v>0</v>
      </c>
      <c r="D48" s="42">
        <v>0</v>
      </c>
      <c r="E48" s="48">
        <f>D48/D10</f>
        <v>0</v>
      </c>
      <c r="F48" s="81"/>
      <c r="G48" s="82"/>
      <c r="H48" s="63"/>
      <c r="I48" s="68"/>
      <c r="J48" s="52"/>
      <c r="K48" s="54"/>
      <c r="L48" s="52"/>
      <c r="M48" s="54"/>
      <c r="N48" s="52"/>
      <c r="O48" s="54"/>
    </row>
    <row r="49" spans="1:15" s="3" customFormat="1" x14ac:dyDescent="0.35">
      <c r="A49" s="3" t="s">
        <v>16</v>
      </c>
      <c r="B49" s="26">
        <f>SUM(B47:B48)</f>
        <v>3682</v>
      </c>
      <c r="C49" s="32">
        <f>B49/B10</f>
        <v>5.7268352469444957E-3</v>
      </c>
      <c r="D49" s="43">
        <f>SUM(D47:D48)</f>
        <v>3193</v>
      </c>
      <c r="E49" s="49">
        <f>D49/D10</f>
        <v>4.5965726526240626E-3</v>
      </c>
      <c r="F49" s="83">
        <f>SUM(F45:F48)</f>
        <v>50142</v>
      </c>
      <c r="G49" s="84">
        <f>F49/F10</f>
        <v>5.0943908056720839E-2</v>
      </c>
      <c r="H49" s="64">
        <f>SUM(H45:H48)</f>
        <v>17738.399999999998</v>
      </c>
      <c r="I49" s="69">
        <f>H49/H10</f>
        <v>1.6577943925233644E-2</v>
      </c>
      <c r="J49" s="59">
        <f>SUM(J45:J48)</f>
        <v>16851.479999999996</v>
      </c>
      <c r="K49" s="60">
        <f>J49/J10</f>
        <v>1.451525044144881E-2</v>
      </c>
      <c r="L49" s="59">
        <f>SUM(L45:L48)</f>
        <v>16008.905999999995</v>
      </c>
      <c r="M49" s="61">
        <f>L49/L10</f>
        <v>1.3132845637501304E-2</v>
      </c>
      <c r="N49" s="59">
        <f>SUM(N45:N48)</f>
        <v>15208.460699999994</v>
      </c>
      <c r="O49" s="61">
        <f>N49/N10</f>
        <v>1.188209843392975E-2</v>
      </c>
    </row>
    <row r="50" spans="1:15" x14ac:dyDescent="0.35">
      <c r="B50" s="28"/>
      <c r="C50" s="27"/>
      <c r="D50" s="41"/>
      <c r="E50" s="47"/>
      <c r="F50" s="80"/>
      <c r="G50" s="79"/>
      <c r="H50" s="62"/>
      <c r="I50" s="67"/>
      <c r="J50" s="55"/>
      <c r="K50" s="57"/>
      <c r="L50" s="55"/>
      <c r="M50" s="58"/>
      <c r="N50" s="55"/>
      <c r="O50" s="58"/>
    </row>
    <row r="51" spans="1:15" s="3" customFormat="1" ht="15" thickBot="1" x14ac:dyDescent="0.4">
      <c r="A51" s="3" t="s">
        <v>84</v>
      </c>
      <c r="B51" s="33">
        <f>B44-B47</f>
        <v>-2010</v>
      </c>
      <c r="C51" s="34">
        <f>B51/B10</f>
        <v>-3.1262734509392817E-3</v>
      </c>
      <c r="D51" s="44">
        <f>D44-D47</f>
        <v>-19275</v>
      </c>
      <c r="E51" s="50">
        <f>D51/D10</f>
        <v>-2.7747866545358223E-2</v>
      </c>
      <c r="F51" s="85">
        <f>F44-F49</f>
        <v>168664</v>
      </c>
      <c r="G51" s="86">
        <f>F51/F10</f>
        <v>0.17136139979415987</v>
      </c>
      <c r="H51" s="65">
        <f>H44-H49</f>
        <v>176261.6</v>
      </c>
      <c r="I51" s="70">
        <f>H51/H10</f>
        <v>0.16473046728971963</v>
      </c>
      <c r="J51" s="72">
        <f>J44-J49</f>
        <v>311152.09500000003</v>
      </c>
      <c r="K51" s="74">
        <f>J51/J10</f>
        <v>0.26801506955510573</v>
      </c>
      <c r="L51" s="72">
        <f>L44-L49</f>
        <v>340941.71025</v>
      </c>
      <c r="M51" s="75">
        <f>L51/L10</f>
        <v>0.27969024567318634</v>
      </c>
      <c r="N51" s="72">
        <f>N44-N49</f>
        <v>367184.93636250001</v>
      </c>
      <c r="O51" s="75">
        <f>N51/N10</f>
        <v>0.28687502590682684</v>
      </c>
    </row>
    <row r="52" spans="1:15" s="3" customFormat="1" ht="15" thickTop="1" x14ac:dyDescent="0.35">
      <c r="B52" s="35"/>
      <c r="C52" s="36"/>
      <c r="D52" s="45"/>
      <c r="E52" s="51"/>
      <c r="F52" s="87"/>
      <c r="G52" s="88"/>
      <c r="H52" s="66"/>
      <c r="I52" s="71"/>
      <c r="J52" s="73"/>
      <c r="K52" s="76"/>
      <c r="L52" s="73"/>
      <c r="M52" s="77"/>
      <c r="N52" s="73"/>
      <c r="O52" s="77"/>
    </row>
    <row r="53" spans="1:15" x14ac:dyDescent="0.35">
      <c r="A53" t="s">
        <v>41</v>
      </c>
      <c r="B53" s="28"/>
      <c r="C53" s="27"/>
      <c r="D53" s="41"/>
      <c r="E53" s="47"/>
      <c r="F53" s="80"/>
      <c r="G53" s="79"/>
      <c r="H53" s="62">
        <v>0</v>
      </c>
      <c r="I53" s="67"/>
      <c r="J53" s="55">
        <v>42000</v>
      </c>
      <c r="K53" s="92">
        <f>J53/J10</f>
        <v>3.6177268616219477E-2</v>
      </c>
      <c r="L53" s="55">
        <v>84000</v>
      </c>
      <c r="M53" s="92">
        <f>L53/L10</f>
        <v>6.8909083078513289E-2</v>
      </c>
      <c r="N53" s="55">
        <v>84000</v>
      </c>
      <c r="O53" s="92">
        <f>N53/N10</f>
        <v>6.5627698170012655E-2</v>
      </c>
    </row>
    <row r="54" spans="1:15" x14ac:dyDescent="0.35">
      <c r="A54" t="s">
        <v>83</v>
      </c>
      <c r="B54" s="31">
        <v>0</v>
      </c>
      <c r="C54" s="30" t="e">
        <f>B54/B16</f>
        <v>#DIV/0!</v>
      </c>
      <c r="D54" s="42">
        <v>0</v>
      </c>
      <c r="E54" s="48" t="e">
        <f>D54/D16</f>
        <v>#DIV/0!</v>
      </c>
      <c r="F54" s="81">
        <v>0</v>
      </c>
      <c r="G54" s="82"/>
      <c r="H54" s="63"/>
      <c r="I54" s="68"/>
      <c r="J54" s="52">
        <f>0.12*J10</f>
        <v>139314</v>
      </c>
      <c r="K54" s="54">
        <f>J54/J10</f>
        <v>0.12</v>
      </c>
      <c r="L54" s="52">
        <f>0.12*L10</f>
        <v>146279.69999999998</v>
      </c>
      <c r="M54" s="54">
        <f>L54/L10</f>
        <v>0.11999999999999998</v>
      </c>
      <c r="N54" s="52">
        <f>0.12*N10</f>
        <v>153593.685</v>
      </c>
      <c r="O54" s="54">
        <f>N54/N10</f>
        <v>0.12</v>
      </c>
    </row>
    <row r="55" spans="1:15" x14ac:dyDescent="0.35">
      <c r="B55" s="128"/>
      <c r="C55" s="129"/>
      <c r="D55" s="130"/>
      <c r="E55" s="131"/>
      <c r="F55" s="132"/>
      <c r="G55" s="133"/>
      <c r="H55" s="134"/>
      <c r="I55" s="135"/>
      <c r="J55" s="136"/>
      <c r="K55" s="92"/>
      <c r="L55" s="136"/>
      <c r="M55" s="92"/>
      <c r="N55" s="136"/>
      <c r="O55" s="92"/>
    </row>
    <row r="56" spans="1:15" s="3" customFormat="1" ht="15" thickBot="1" x14ac:dyDescent="0.4">
      <c r="A56" s="3" t="s">
        <v>18</v>
      </c>
      <c r="B56" s="33">
        <f>B48-B51</f>
        <v>2010</v>
      </c>
      <c r="C56" s="34">
        <f>B56/B15</f>
        <v>4.4099062730368239E-3</v>
      </c>
      <c r="D56" s="44">
        <f>D48-D51</f>
        <v>19275</v>
      </c>
      <c r="E56" s="50">
        <f>D56/D15</f>
        <v>3.9679680503947379E-2</v>
      </c>
      <c r="F56" s="85">
        <f>F51-F53-F54</f>
        <v>168664</v>
      </c>
      <c r="G56" s="86">
        <f>F56/F15</f>
        <v>0.22249719675483148</v>
      </c>
      <c r="H56" s="65">
        <f>H51-H53-H54</f>
        <v>176261.6</v>
      </c>
      <c r="I56" s="70">
        <f>H56/H15</f>
        <v>0.21388753380926342</v>
      </c>
      <c r="J56" s="72">
        <f>J51-J53-J54</f>
        <v>129838.09500000003</v>
      </c>
      <c r="K56" s="74">
        <f>J56/J15</f>
        <v>0.15976828705555182</v>
      </c>
      <c r="L56" s="72">
        <f>L51-L53-L54</f>
        <v>110662.01025000002</v>
      </c>
      <c r="M56" s="75">
        <f>L56/L15</f>
        <v>0.12968737513524728</v>
      </c>
      <c r="N56" s="72">
        <f>N51-N53-N54</f>
        <v>129591.25136250001</v>
      </c>
      <c r="O56" s="75">
        <f>N56/N15</f>
        <v>0.14463903962402025</v>
      </c>
    </row>
    <row r="57" spans="1:15" s="3" customFormat="1" ht="15" thickTop="1" x14ac:dyDescent="0.35">
      <c r="B57" s="35"/>
      <c r="C57" s="36"/>
      <c r="D57" s="45"/>
      <c r="E57" s="51"/>
      <c r="F57" s="87"/>
      <c r="G57" s="88"/>
      <c r="H57" s="66"/>
      <c r="I57" s="71"/>
      <c r="J57" s="73"/>
      <c r="K57" s="76"/>
      <c r="L57" s="73"/>
      <c r="M57" s="77"/>
      <c r="N57" s="73"/>
      <c r="O57" s="77"/>
    </row>
    <row r="58" spans="1:15" s="3" customFormat="1" x14ac:dyDescent="0.35">
      <c r="A58" s="3" t="s">
        <v>51</v>
      </c>
      <c r="B58" s="35"/>
      <c r="C58" s="36"/>
      <c r="D58" s="45"/>
      <c r="E58" s="51"/>
      <c r="F58" s="87"/>
      <c r="G58" s="88"/>
      <c r="H58" s="66"/>
      <c r="I58" s="71"/>
      <c r="J58" s="73"/>
      <c r="K58" s="76"/>
      <c r="L58" s="73"/>
      <c r="M58" s="77"/>
      <c r="N58" s="73"/>
      <c r="O58" s="77"/>
    </row>
    <row r="59" spans="1:15" s="3" customFormat="1" x14ac:dyDescent="0.35">
      <c r="A59" s="3" t="s">
        <v>61</v>
      </c>
      <c r="B59" s="35"/>
      <c r="C59" s="36"/>
      <c r="D59" s="45"/>
      <c r="E59" s="51"/>
      <c r="F59" s="87">
        <f>F47</f>
        <v>18672</v>
      </c>
      <c r="G59" s="88"/>
      <c r="H59" s="66">
        <f>H47</f>
        <v>17738.399999999998</v>
      </c>
      <c r="I59" s="71"/>
      <c r="J59" s="73">
        <f>J47</f>
        <v>16851.479999999996</v>
      </c>
      <c r="K59" s="76"/>
      <c r="L59" s="73">
        <f>L47</f>
        <v>16008.905999999995</v>
      </c>
      <c r="M59" s="77"/>
      <c r="N59" s="73">
        <f>N47</f>
        <v>15208.460699999994</v>
      </c>
      <c r="O59" s="77"/>
    </row>
    <row r="60" spans="1:15" s="3" customFormat="1" x14ac:dyDescent="0.35">
      <c r="A60" s="3" t="s">
        <v>49</v>
      </c>
      <c r="B60" s="35"/>
      <c r="C60" s="36"/>
      <c r="D60" s="45"/>
      <c r="E60" s="51"/>
      <c r="F60" s="87">
        <v>0</v>
      </c>
      <c r="G60" s="88"/>
      <c r="H60" s="66">
        <v>0</v>
      </c>
      <c r="I60" s="71"/>
      <c r="J60" s="73">
        <v>125662.8</v>
      </c>
      <c r="K60" s="76"/>
      <c r="L60" s="73">
        <v>125662.8</v>
      </c>
      <c r="M60" s="77"/>
      <c r="N60" s="73">
        <v>125662.8</v>
      </c>
      <c r="O60" s="77"/>
    </row>
    <row r="61" spans="1:15" s="3" customFormat="1" x14ac:dyDescent="0.35">
      <c r="A61" s="3" t="s">
        <v>50</v>
      </c>
      <c r="B61" s="35"/>
      <c r="C61" s="36"/>
      <c r="D61" s="45"/>
      <c r="E61" s="51"/>
      <c r="F61" s="87">
        <v>0</v>
      </c>
      <c r="G61" s="88"/>
      <c r="H61" s="66">
        <v>0</v>
      </c>
      <c r="I61" s="71"/>
      <c r="J61" s="73">
        <f>J29</f>
        <v>27926</v>
      </c>
      <c r="K61" s="76"/>
      <c r="L61" s="73">
        <f>L29</f>
        <v>24115</v>
      </c>
      <c r="M61" s="77"/>
      <c r="N61" s="73">
        <f>N29</f>
        <v>20118</v>
      </c>
      <c r="O61" s="77"/>
    </row>
    <row r="62" spans="1:15" s="3" customFormat="1" x14ac:dyDescent="0.35">
      <c r="A62" s="3" t="s">
        <v>62</v>
      </c>
      <c r="B62" s="35"/>
      <c r="C62" s="36"/>
      <c r="D62" s="45"/>
      <c r="E62" s="51"/>
      <c r="F62" s="87">
        <v>0</v>
      </c>
      <c r="G62" s="88"/>
      <c r="H62" s="66"/>
      <c r="I62" s="71"/>
      <c r="J62" s="73"/>
      <c r="K62" s="76"/>
      <c r="L62" s="73"/>
      <c r="M62" s="77"/>
      <c r="N62" s="73"/>
      <c r="O62" s="77"/>
    </row>
    <row r="63" spans="1:15" s="3" customFormat="1" ht="29" x14ac:dyDescent="0.35">
      <c r="A63" s="111" t="s">
        <v>52</v>
      </c>
      <c r="B63" s="35"/>
      <c r="C63" s="36"/>
      <c r="D63" s="45"/>
      <c r="E63" s="51"/>
      <c r="F63" s="112">
        <v>0</v>
      </c>
      <c r="G63" s="124"/>
      <c r="H63" s="122"/>
      <c r="I63" s="123"/>
      <c r="J63" s="106">
        <v>0</v>
      </c>
      <c r="K63" s="125"/>
      <c r="L63" s="106">
        <v>0</v>
      </c>
      <c r="M63" s="126"/>
      <c r="N63" s="106">
        <v>0</v>
      </c>
      <c r="O63" s="77"/>
    </row>
    <row r="64" spans="1:15" s="3" customFormat="1" x14ac:dyDescent="0.35">
      <c r="B64" s="35"/>
      <c r="C64" s="36"/>
      <c r="D64" s="45"/>
      <c r="E64" s="51"/>
      <c r="F64" s="87"/>
      <c r="G64" s="88"/>
      <c r="H64" s="66"/>
      <c r="I64" s="71"/>
      <c r="J64" s="73"/>
      <c r="K64" s="76"/>
      <c r="L64" s="73"/>
      <c r="M64" s="77"/>
      <c r="N64" s="73"/>
      <c r="O64" s="77"/>
    </row>
    <row r="65" spans="1:15" s="3" customFormat="1" x14ac:dyDescent="0.35">
      <c r="A65" s="3" t="s">
        <v>53</v>
      </c>
      <c r="B65" s="35"/>
      <c r="C65" s="36"/>
      <c r="D65" s="45"/>
      <c r="E65" s="51"/>
      <c r="F65" s="87">
        <f>F59+F51-F60+F61-F63+F62</f>
        <v>187336</v>
      </c>
      <c r="G65" s="88"/>
      <c r="H65" s="66">
        <f>H56+H59-H60+H61+H62+H63</f>
        <v>194000</v>
      </c>
      <c r="I65" s="71"/>
      <c r="J65" s="73">
        <f>J56+J59-J60+J61+J62+J63</f>
        <v>48952.775000000009</v>
      </c>
      <c r="K65" s="76"/>
      <c r="L65" s="73">
        <f>L56+L59-L60+L61+L62+L63</f>
        <v>25123.116250000006</v>
      </c>
      <c r="M65" s="73"/>
      <c r="N65" s="73">
        <f>N56+N59-N60+N61+N62+N63</f>
        <v>39254.912062500007</v>
      </c>
      <c r="O65" s="77"/>
    </row>
    <row r="66" spans="1:15" x14ac:dyDescent="0.35">
      <c r="O66" s="10"/>
    </row>
    <row r="67" spans="1:15" x14ac:dyDescent="0.35">
      <c r="A67" s="3" t="s">
        <v>76</v>
      </c>
    </row>
    <row r="68" spans="1:15" x14ac:dyDescent="0.35">
      <c r="A68" s="3" t="s">
        <v>45</v>
      </c>
    </row>
    <row r="69" spans="1:15" x14ac:dyDescent="0.35">
      <c r="A69" s="108" t="s">
        <v>46</v>
      </c>
      <c r="B69" s="2"/>
      <c r="C69"/>
      <c r="D69" s="2"/>
      <c r="E69"/>
      <c r="F69" s="109"/>
      <c r="G69" s="127"/>
      <c r="H69" s="2"/>
      <c r="I69"/>
      <c r="J69" s="13"/>
      <c r="K69"/>
      <c r="L69" s="10"/>
      <c r="M69"/>
    </row>
    <row r="70" spans="1:15" x14ac:dyDescent="0.35">
      <c r="B70" s="1"/>
    </row>
    <row r="71" spans="1:15" x14ac:dyDescent="0.35">
      <c r="B71" s="1"/>
    </row>
    <row r="72" spans="1:15" x14ac:dyDescent="0.35">
      <c r="B72" s="1"/>
      <c r="C72" s="15"/>
    </row>
    <row r="75" spans="1:15" x14ac:dyDescent="0.35">
      <c r="A75" s="2"/>
    </row>
    <row r="76" spans="1:15" x14ac:dyDescent="0.35">
      <c r="A76" s="2"/>
    </row>
    <row r="77" spans="1:15" x14ac:dyDescent="0.35">
      <c r="A77" s="2"/>
    </row>
  </sheetData>
  <mergeCells count="1">
    <mergeCell ref="H8:I8"/>
  </mergeCells>
  <pageMargins left="0.19" right="0.17" top="0.5" bottom="0.44" header="0.3" footer="0.3"/>
  <pageSetup paperSize="5" orientation="landscape" r:id="rId1"/>
  <rowBreaks count="1" manualBreakCount="1">
    <brk id="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workbookViewId="0"/>
  </sheetViews>
  <sheetFormatPr defaultRowHeight="14.5" x14ac:dyDescent="0.35"/>
  <cols>
    <col min="1" max="1" width="3.54296875" customWidth="1"/>
    <col min="2" max="2" width="20.6328125" customWidth="1"/>
    <col min="3" max="3" width="13.7265625" style="1" customWidth="1"/>
    <col min="4" max="4" width="2.7265625" customWidth="1"/>
    <col min="5" max="5" width="12.54296875" style="1" customWidth="1"/>
    <col min="6" max="6" width="2.7265625" customWidth="1"/>
    <col min="7" max="7" width="12.453125" customWidth="1"/>
    <col min="8" max="8" width="3.08984375" customWidth="1"/>
    <col min="9" max="9" width="12.81640625" customWidth="1"/>
    <col min="10" max="10" width="3.7265625" customWidth="1"/>
    <col min="11" max="11" width="13.6328125" customWidth="1"/>
    <col min="12" max="12" width="3.81640625" customWidth="1"/>
    <col min="13" max="13" width="14.1796875" customWidth="1"/>
    <col min="14" max="14" width="2.54296875" customWidth="1"/>
    <col min="15" max="15" width="13.6328125" bestFit="1" customWidth="1"/>
  </cols>
  <sheetData>
    <row r="1" spans="1:15" ht="21" customHeight="1" x14ac:dyDescent="0.45">
      <c r="A1" s="7" t="s">
        <v>80</v>
      </c>
      <c r="B1" s="8"/>
    </row>
    <row r="2" spans="1:15" ht="42.75" customHeight="1" x14ac:dyDescent="0.35">
      <c r="C2" s="16">
        <v>2012</v>
      </c>
      <c r="E2" s="16">
        <v>2013</v>
      </c>
      <c r="G2" s="16">
        <v>2014</v>
      </c>
      <c r="I2" s="16">
        <v>2015</v>
      </c>
      <c r="K2" s="16">
        <v>2016</v>
      </c>
      <c r="M2" s="16">
        <v>2017</v>
      </c>
      <c r="O2" s="16">
        <v>2017</v>
      </c>
    </row>
    <row r="3" spans="1:15" x14ac:dyDescent="0.35">
      <c r="A3" s="3" t="s">
        <v>19</v>
      </c>
      <c r="B3" s="3"/>
    </row>
    <row r="5" spans="1:15" x14ac:dyDescent="0.35">
      <c r="A5" t="s">
        <v>20</v>
      </c>
      <c r="G5" s="1"/>
      <c r="H5" s="1"/>
      <c r="I5" s="1"/>
      <c r="J5" s="1"/>
      <c r="K5" s="1"/>
      <c r="M5" s="1"/>
      <c r="O5" s="1"/>
    </row>
    <row r="6" spans="1:15" x14ac:dyDescent="0.35">
      <c r="B6" t="s">
        <v>21</v>
      </c>
      <c r="C6" s="1">
        <v>45931</v>
      </c>
      <c r="E6" s="1">
        <v>64821</v>
      </c>
      <c r="G6" s="1">
        <v>131503</v>
      </c>
      <c r="H6" s="1"/>
      <c r="I6" s="1">
        <f>I31-I7-I8-I10-I12-I14</f>
        <v>116004</v>
      </c>
      <c r="J6" s="1"/>
      <c r="K6" s="1">
        <f>K31-K7-K8-K10-K12-K14-K9</f>
        <v>327426.09499999997</v>
      </c>
      <c r="M6" s="1">
        <f>M31-M7-M8-M10-M12-M14-M9</f>
        <v>564807.80524999998</v>
      </c>
      <c r="O6" s="1">
        <f>O31-O7-O8-O10-O12-O14-O9</f>
        <v>824452.74161250005</v>
      </c>
    </row>
    <row r="7" spans="1:15" x14ac:dyDescent="0.35">
      <c r="B7" t="s">
        <v>22</v>
      </c>
      <c r="C7" s="1">
        <v>6585</v>
      </c>
      <c r="E7" s="1">
        <v>10425</v>
      </c>
      <c r="G7" s="1">
        <v>1694</v>
      </c>
      <c r="H7" s="1"/>
      <c r="I7" s="1">
        <v>1694</v>
      </c>
      <c r="J7" s="1"/>
      <c r="K7" s="1">
        <v>1694</v>
      </c>
      <c r="M7" s="1">
        <v>1694</v>
      </c>
      <c r="O7" s="1">
        <v>1694</v>
      </c>
    </row>
    <row r="8" spans="1:15" x14ac:dyDescent="0.35">
      <c r="B8" t="s">
        <v>36</v>
      </c>
      <c r="C8" s="1">
        <v>1932</v>
      </c>
      <c r="E8" s="1">
        <v>1932</v>
      </c>
      <c r="G8" s="1">
        <v>1932</v>
      </c>
      <c r="H8" s="1"/>
      <c r="I8" s="1">
        <v>1932</v>
      </c>
      <c r="J8" s="1"/>
      <c r="K8" s="1">
        <v>1932</v>
      </c>
      <c r="M8" s="1">
        <v>1932</v>
      </c>
      <c r="O8" s="1">
        <v>1932</v>
      </c>
    </row>
    <row r="9" spans="1:15" x14ac:dyDescent="0.35">
      <c r="A9" t="s">
        <v>37</v>
      </c>
      <c r="G9" s="1"/>
      <c r="H9" s="1"/>
      <c r="I9" s="1"/>
      <c r="J9" s="1"/>
      <c r="K9" s="1">
        <v>770000</v>
      </c>
      <c r="M9" s="1">
        <v>770000</v>
      </c>
      <c r="O9" s="1">
        <v>770000</v>
      </c>
    </row>
    <row r="10" spans="1:15" x14ac:dyDescent="0.35">
      <c r="A10" t="s">
        <v>40</v>
      </c>
      <c r="C10" s="1">
        <v>4300</v>
      </c>
      <c r="E10" s="1">
        <v>7740</v>
      </c>
      <c r="G10" s="1">
        <v>9875</v>
      </c>
      <c r="H10" s="1"/>
      <c r="I10" s="1">
        <f>G10+2000</f>
        <v>11875</v>
      </c>
      <c r="J10" s="1"/>
      <c r="K10" s="1">
        <f>I10+2000</f>
        <v>13875</v>
      </c>
      <c r="M10" s="1">
        <f>K10+2000</f>
        <v>15875</v>
      </c>
      <c r="O10" s="1">
        <f>M10+2000</f>
        <v>17875</v>
      </c>
    </row>
    <row r="11" spans="1:15" x14ac:dyDescent="0.35">
      <c r="A11" t="s">
        <v>23</v>
      </c>
      <c r="G11" s="1"/>
      <c r="H11" s="1"/>
      <c r="I11" s="1"/>
      <c r="J11" s="1"/>
      <c r="K11" s="1"/>
      <c r="M11" s="1"/>
      <c r="O11" s="1"/>
    </row>
    <row r="12" spans="1:15" x14ac:dyDescent="0.35">
      <c r="B12" t="s">
        <v>24</v>
      </c>
      <c r="C12" s="1">
        <v>53239</v>
      </c>
      <c r="E12" s="1">
        <v>57249</v>
      </c>
      <c r="G12" s="1">
        <v>101275</v>
      </c>
      <c r="H12" s="1"/>
      <c r="I12" s="1">
        <v>101275</v>
      </c>
      <c r="J12" s="1"/>
      <c r="K12" s="1">
        <v>101275</v>
      </c>
      <c r="M12" s="1">
        <v>101275</v>
      </c>
      <c r="O12" s="1">
        <v>101275</v>
      </c>
    </row>
    <row r="13" spans="1:15" x14ac:dyDescent="0.35">
      <c r="G13" s="1"/>
      <c r="H13" s="1"/>
      <c r="I13" s="1"/>
      <c r="J13" s="1"/>
      <c r="K13" s="1"/>
      <c r="M13" s="1"/>
      <c r="O13" s="1"/>
    </row>
    <row r="14" spans="1:15" x14ac:dyDescent="0.35">
      <c r="A14" t="s">
        <v>25</v>
      </c>
      <c r="C14" s="5">
        <v>6401</v>
      </c>
      <c r="E14" s="5">
        <v>9673</v>
      </c>
      <c r="G14" s="5">
        <v>10537</v>
      </c>
      <c r="H14" s="1"/>
      <c r="I14" s="5">
        <v>10537</v>
      </c>
      <c r="J14" s="1"/>
      <c r="K14" s="5">
        <v>10537</v>
      </c>
      <c r="M14" s="5">
        <v>10537</v>
      </c>
      <c r="N14" s="91"/>
      <c r="O14" s="5">
        <v>10537</v>
      </c>
    </row>
    <row r="15" spans="1:15" x14ac:dyDescent="0.35">
      <c r="G15" s="1"/>
      <c r="H15" s="1"/>
      <c r="I15" s="1"/>
      <c r="J15" s="1"/>
      <c r="K15" s="1"/>
      <c r="M15" s="1"/>
      <c r="O15" s="1"/>
    </row>
    <row r="16" spans="1:15" s="3" customFormat="1" x14ac:dyDescent="0.35">
      <c r="A16" s="3" t="s">
        <v>31</v>
      </c>
      <c r="C16" s="6">
        <f>SUM(C6:C14)</f>
        <v>118388</v>
      </c>
      <c r="E16" s="6">
        <f>SUM(E6:E14)</f>
        <v>151840</v>
      </c>
      <c r="G16" s="6">
        <f>SUM(G6:G14)</f>
        <v>256816</v>
      </c>
      <c r="H16" s="6"/>
      <c r="I16" s="6">
        <f>SUM(I6:I14)</f>
        <v>243317</v>
      </c>
      <c r="J16" s="6"/>
      <c r="K16" s="6">
        <f>SUM(K6:K14)</f>
        <v>1226739.095</v>
      </c>
      <c r="L16" s="18"/>
      <c r="M16" s="6">
        <f>SUM(M6:M14)</f>
        <v>1466120.80525</v>
      </c>
      <c r="O16" s="6">
        <f>SUM(O6:O14)</f>
        <v>1727765.7416125</v>
      </c>
    </row>
    <row r="19" spans="1:15" x14ac:dyDescent="0.35">
      <c r="A19" s="3" t="s">
        <v>26</v>
      </c>
    </row>
    <row r="21" spans="1:15" x14ac:dyDescent="0.35">
      <c r="B21" t="s">
        <v>38</v>
      </c>
      <c r="C21" s="1">
        <f>24285+24200</f>
        <v>48485</v>
      </c>
      <c r="E21" s="1">
        <f>38047+79350</f>
        <v>117397</v>
      </c>
      <c r="G21" s="1">
        <f>33533+79350</f>
        <v>112883</v>
      </c>
      <c r="I21" s="1">
        <f>33533+79350</f>
        <v>112883</v>
      </c>
      <c r="K21" s="1">
        <f>33533+79350</f>
        <v>112883</v>
      </c>
      <c r="M21" s="1">
        <f>33533+79350</f>
        <v>112883</v>
      </c>
      <c r="O21" s="1">
        <f>33533+79350</f>
        <v>112883</v>
      </c>
    </row>
    <row r="22" spans="1:15" x14ac:dyDescent="0.35">
      <c r="B22" t="s">
        <v>27</v>
      </c>
      <c r="C22" s="1">
        <v>8455</v>
      </c>
      <c r="E22" s="1">
        <v>3627</v>
      </c>
      <c r="G22" s="11">
        <v>13499</v>
      </c>
      <c r="I22" s="11">
        <v>0</v>
      </c>
      <c r="K22" s="11">
        <v>0</v>
      </c>
      <c r="M22" s="11">
        <v>0</v>
      </c>
      <c r="O22" s="11">
        <v>0</v>
      </c>
    </row>
    <row r="23" spans="1:15" x14ac:dyDescent="0.35">
      <c r="G23" s="1"/>
      <c r="I23" s="1"/>
      <c r="K23" s="1"/>
      <c r="M23" s="1"/>
      <c r="O23" s="1"/>
    </row>
    <row r="24" spans="1:15" x14ac:dyDescent="0.35">
      <c r="B24" t="s">
        <v>33</v>
      </c>
      <c r="C24" s="5"/>
      <c r="E24" s="5"/>
      <c r="G24" s="5"/>
      <c r="I24" s="5"/>
      <c r="K24" s="5">
        <v>672270</v>
      </c>
      <c r="M24" s="5">
        <v>570710</v>
      </c>
      <c r="O24" s="5">
        <v>465170</v>
      </c>
    </row>
    <row r="25" spans="1:15" x14ac:dyDescent="0.35">
      <c r="B25" s="3" t="s">
        <v>32</v>
      </c>
      <c r="C25" s="6">
        <f>C24+C23+C22+C21</f>
        <v>56940</v>
      </c>
      <c r="E25" s="6">
        <f>E24+E23+E22+E21</f>
        <v>121024</v>
      </c>
      <c r="G25" s="11">
        <f>SUM(G21:G24)</f>
        <v>126382</v>
      </c>
      <c r="I25" s="11">
        <f>SUM(I21:I24)</f>
        <v>112883</v>
      </c>
      <c r="K25" s="11">
        <f>SUM(K21:K24)</f>
        <v>785153</v>
      </c>
      <c r="M25" s="11">
        <f>SUM(M21:M24)</f>
        <v>683593</v>
      </c>
      <c r="O25" s="11">
        <f>SUM(O21:O24)</f>
        <v>578053</v>
      </c>
    </row>
    <row r="27" spans="1:15" x14ac:dyDescent="0.35">
      <c r="B27" t="s">
        <v>28</v>
      </c>
      <c r="C27" s="1">
        <v>200</v>
      </c>
      <c r="E27" s="1">
        <v>200</v>
      </c>
      <c r="G27" s="1">
        <v>200</v>
      </c>
      <c r="I27" s="1">
        <v>200</v>
      </c>
      <c r="K27" s="1">
        <v>200</v>
      </c>
      <c r="M27" s="1">
        <v>200</v>
      </c>
      <c r="O27" s="1">
        <v>200</v>
      </c>
    </row>
    <row r="28" spans="1:15" x14ac:dyDescent="0.35">
      <c r="B28" t="s">
        <v>29</v>
      </c>
      <c r="C28" s="5">
        <v>61248</v>
      </c>
      <c r="E28" s="5">
        <v>30616</v>
      </c>
      <c r="G28" s="17">
        <v>130234</v>
      </c>
      <c r="I28" s="17">
        <f>G28+'iNCOME STMT PROJECTIONS'!H54</f>
        <v>130234</v>
      </c>
      <c r="K28" s="17">
        <f>I28+'with mgmt fee and tw salary'!J51</f>
        <v>441386.09500000003</v>
      </c>
      <c r="M28" s="17">
        <f>K28+'with mgmt fee and tw salary'!L51</f>
        <v>782327.80524999998</v>
      </c>
      <c r="O28" s="17">
        <f>M28+'with mgmt fee and tw salary'!N51</f>
        <v>1149512.7416125</v>
      </c>
    </row>
    <row r="29" spans="1:15" x14ac:dyDescent="0.35">
      <c r="B29" s="3" t="s">
        <v>30</v>
      </c>
      <c r="C29" s="6">
        <f>C28+C27</f>
        <v>61448</v>
      </c>
      <c r="D29" s="3"/>
      <c r="E29" s="6">
        <f>E27+E28</f>
        <v>30816</v>
      </c>
      <c r="G29" s="11">
        <f>SUM(G27:G28)</f>
        <v>130434</v>
      </c>
      <c r="I29" s="11">
        <f>SUM(I27:I28)</f>
        <v>130434</v>
      </c>
      <c r="K29" s="11">
        <f>SUM(K27:K28)</f>
        <v>441586.09500000003</v>
      </c>
      <c r="M29" s="11">
        <f>SUM(M27:M28)</f>
        <v>782527.80524999998</v>
      </c>
      <c r="O29" s="11">
        <f>SUM(O27:O28)</f>
        <v>1149712.7416125</v>
      </c>
    </row>
    <row r="31" spans="1:15" s="3" customFormat="1" x14ac:dyDescent="0.35">
      <c r="B31" s="3" t="s">
        <v>39</v>
      </c>
      <c r="C31" s="6">
        <f>C25+C29</f>
        <v>118388</v>
      </c>
      <c r="E31" s="6">
        <f>E25+E29</f>
        <v>151840</v>
      </c>
      <c r="G31" s="6">
        <f>G25+G29</f>
        <v>256816</v>
      </c>
      <c r="I31" s="6">
        <f>I25+I29</f>
        <v>243317</v>
      </c>
      <c r="K31" s="6">
        <f>K25+K29</f>
        <v>1226739.095</v>
      </c>
      <c r="M31" s="6">
        <f>M25+M29</f>
        <v>1466120.80525</v>
      </c>
      <c r="O31" s="6">
        <f>O25+O29</f>
        <v>1727765.7416125</v>
      </c>
    </row>
  </sheetData>
  <pageMargins left="0.21" right="0.2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7"/>
  <sheetViews>
    <sheetView tabSelected="1" workbookViewId="0"/>
  </sheetViews>
  <sheetFormatPr defaultRowHeight="14.5" x14ac:dyDescent="0.35"/>
  <cols>
    <col min="1" max="1" width="31.90625" customWidth="1"/>
    <col min="2" max="2" width="0.36328125" hidden="1" customWidth="1"/>
    <col min="3" max="3" width="8.26953125" style="2" hidden="1" customWidth="1"/>
    <col min="4" max="4" width="13.1796875" hidden="1" customWidth="1"/>
    <col min="5" max="5" width="7.90625" style="2" hidden="1" customWidth="1"/>
    <col min="6" max="6" width="13.90625" customWidth="1"/>
    <col min="7" max="7" width="7.36328125" style="2" customWidth="1"/>
    <col min="8" max="8" width="13.453125" customWidth="1"/>
    <col min="9" max="9" width="6.81640625" style="2" bestFit="1" customWidth="1"/>
    <col min="10" max="10" width="13.90625" customWidth="1"/>
    <col min="11" max="11" width="7.7265625" style="13" customWidth="1"/>
    <col min="12" max="12" width="13.36328125" customWidth="1"/>
    <col min="13" max="13" width="5.7265625" style="10" customWidth="1"/>
    <col min="14" max="14" width="13.7265625" customWidth="1"/>
    <col min="15" max="15" width="6.26953125" customWidth="1"/>
  </cols>
  <sheetData>
    <row r="1" spans="1:15" x14ac:dyDescent="0.35">
      <c r="A1" t="s">
        <v>78</v>
      </c>
      <c r="F1" s="37" t="s">
        <v>34</v>
      </c>
      <c r="G1" s="38" t="s">
        <v>79</v>
      </c>
      <c r="H1" s="38"/>
      <c r="J1" t="s">
        <v>42</v>
      </c>
      <c r="L1">
        <v>1070000</v>
      </c>
      <c r="M1" s="10">
        <f>(L1-L2)/L2</f>
        <v>8.7112233670202655E-2</v>
      </c>
      <c r="N1" t="s">
        <v>77</v>
      </c>
    </row>
    <row r="2" spans="1:15" x14ac:dyDescent="0.35">
      <c r="F2" s="37"/>
      <c r="G2" s="38" t="s">
        <v>54</v>
      </c>
      <c r="H2" s="38"/>
      <c r="J2" t="s">
        <v>60</v>
      </c>
      <c r="L2">
        <v>984259</v>
      </c>
      <c r="M2" s="10">
        <f>(L2-L3)/L3</f>
        <v>0.15070772115774694</v>
      </c>
    </row>
    <row r="3" spans="1:15" x14ac:dyDescent="0.35">
      <c r="F3" s="37"/>
      <c r="G3" s="38" t="s">
        <v>55</v>
      </c>
      <c r="H3" s="38"/>
      <c r="J3" t="s">
        <v>68</v>
      </c>
      <c r="L3">
        <v>855351</v>
      </c>
      <c r="M3" s="10">
        <f>(L3-L4)/L4</f>
        <v>0.29438603181521028</v>
      </c>
    </row>
    <row r="4" spans="1:15" ht="12.5" customHeight="1" x14ac:dyDescent="0.35">
      <c r="F4" s="37"/>
      <c r="H4" s="38"/>
      <c r="J4" t="s">
        <v>69</v>
      </c>
      <c r="L4">
        <v>660816</v>
      </c>
      <c r="M4" s="10">
        <f>(L4-L5)/L5</f>
        <v>0.22549441419521385</v>
      </c>
    </row>
    <row r="5" spans="1:15" x14ac:dyDescent="0.35">
      <c r="F5" s="37"/>
      <c r="H5" s="38"/>
      <c r="J5" t="s">
        <v>70</v>
      </c>
      <c r="L5">
        <v>539224</v>
      </c>
    </row>
    <row r="6" spans="1:15" s="8" customFormat="1" ht="15.5" customHeight="1" x14ac:dyDescent="0.45">
      <c r="A6" s="7" t="s">
        <v>56</v>
      </c>
      <c r="B6" s="7"/>
      <c r="C6" s="9"/>
      <c r="E6" s="9"/>
      <c r="G6" s="9"/>
      <c r="I6" s="9"/>
      <c r="K6" s="12"/>
      <c r="M6" s="14"/>
    </row>
    <row r="7" spans="1:15" x14ac:dyDescent="0.35">
      <c r="B7" s="23">
        <v>2012</v>
      </c>
      <c r="C7" s="24" t="s">
        <v>17</v>
      </c>
      <c r="D7" s="39">
        <v>2013</v>
      </c>
      <c r="E7" s="46" t="s">
        <v>17</v>
      </c>
      <c r="F7" s="78" t="s">
        <v>60</v>
      </c>
      <c r="G7" s="79" t="s">
        <v>17</v>
      </c>
      <c r="H7" s="93" t="s">
        <v>42</v>
      </c>
      <c r="I7" s="67" t="s">
        <v>17</v>
      </c>
      <c r="J7" s="19" t="s">
        <v>43</v>
      </c>
      <c r="K7" s="20" t="s">
        <v>17</v>
      </c>
      <c r="L7" s="19" t="s">
        <v>57</v>
      </c>
      <c r="M7" s="21" t="s">
        <v>17</v>
      </c>
      <c r="N7" s="19" t="s">
        <v>58</v>
      </c>
      <c r="O7" s="21" t="s">
        <v>17</v>
      </c>
    </row>
    <row r="8" spans="1:15" ht="32.5" customHeight="1" x14ac:dyDescent="0.35">
      <c r="B8" s="23" t="s">
        <v>35</v>
      </c>
      <c r="C8" s="24"/>
      <c r="D8" s="40" t="s">
        <v>35</v>
      </c>
      <c r="E8" s="46"/>
      <c r="F8" s="78" t="s">
        <v>35</v>
      </c>
      <c r="G8" s="79"/>
      <c r="H8" s="137" t="s">
        <v>75</v>
      </c>
      <c r="I8" s="137"/>
      <c r="J8" s="22"/>
      <c r="K8" s="20"/>
      <c r="L8" s="22"/>
      <c r="M8" s="21"/>
      <c r="N8" s="22"/>
      <c r="O8" s="21"/>
    </row>
    <row r="9" spans="1:15" ht="15.5" x14ac:dyDescent="0.35">
      <c r="A9" s="4"/>
      <c r="B9" s="25"/>
      <c r="C9" s="24"/>
      <c r="D9" s="39"/>
      <c r="E9" s="46"/>
      <c r="F9" s="78"/>
      <c r="G9" s="79"/>
      <c r="H9" s="93"/>
      <c r="I9" s="67"/>
      <c r="J9" s="89"/>
      <c r="K9" s="57"/>
      <c r="L9" s="89"/>
      <c r="M9" s="58"/>
      <c r="N9" s="89"/>
      <c r="O9" s="58"/>
    </row>
    <row r="10" spans="1:15" x14ac:dyDescent="0.35">
      <c r="A10" s="3" t="s">
        <v>0</v>
      </c>
      <c r="B10" s="26">
        <v>642938</v>
      </c>
      <c r="C10" s="27">
        <v>1</v>
      </c>
      <c r="D10" s="41">
        <v>694648</v>
      </c>
      <c r="E10" s="90">
        <v>1</v>
      </c>
      <c r="F10" s="80">
        <v>984259</v>
      </c>
      <c r="G10" s="79">
        <v>1</v>
      </c>
      <c r="H10" s="62">
        <v>1070000</v>
      </c>
      <c r="I10" s="67">
        <v>1</v>
      </c>
      <c r="J10" s="55">
        <f>H10*1.085</f>
        <v>1160950</v>
      </c>
      <c r="K10" s="57">
        <v>1</v>
      </c>
      <c r="L10" s="55">
        <f>J10*1.05</f>
        <v>1218997.5</v>
      </c>
      <c r="M10" s="58">
        <v>1</v>
      </c>
      <c r="N10" s="55">
        <f>L10*1.05</f>
        <v>1279947.375</v>
      </c>
      <c r="O10" s="58">
        <v>1</v>
      </c>
    </row>
    <row r="11" spans="1:15" ht="11.25" customHeight="1" x14ac:dyDescent="0.35">
      <c r="B11" s="28"/>
      <c r="C11" s="27"/>
      <c r="D11" s="41"/>
      <c r="E11" s="47"/>
      <c r="F11" s="80"/>
      <c r="G11" s="79"/>
      <c r="H11" s="62"/>
      <c r="I11" s="67"/>
      <c r="J11" s="55"/>
      <c r="K11" s="57"/>
      <c r="L11" s="55"/>
      <c r="M11" s="58"/>
      <c r="N11" s="55"/>
      <c r="O11" s="58"/>
    </row>
    <row r="12" spans="1:15" x14ac:dyDescent="0.35">
      <c r="A12" s="3" t="s">
        <v>1</v>
      </c>
      <c r="B12" s="26"/>
      <c r="C12" s="27"/>
      <c r="D12" s="41"/>
      <c r="E12" s="47"/>
      <c r="F12" s="80"/>
      <c r="G12" s="79"/>
      <c r="H12" s="62"/>
      <c r="I12" s="67"/>
      <c r="J12" s="55"/>
      <c r="K12" s="57"/>
      <c r="L12" s="55"/>
      <c r="M12" s="58"/>
      <c r="N12" s="55"/>
      <c r="O12" s="58"/>
    </row>
    <row r="13" spans="1:15" x14ac:dyDescent="0.35">
      <c r="A13" t="s">
        <v>2</v>
      </c>
      <c r="B13" s="29">
        <v>187146</v>
      </c>
      <c r="C13" s="30">
        <f>B13/B10</f>
        <v>0.29107938868133476</v>
      </c>
      <c r="D13" s="42">
        <v>208883</v>
      </c>
      <c r="E13" s="48">
        <f>D13/D10</f>
        <v>0.30070337782589168</v>
      </c>
      <c r="F13" s="81">
        <v>226209</v>
      </c>
      <c r="G13" s="82">
        <f>F13/F10</f>
        <v>0.22982670211804007</v>
      </c>
      <c r="H13" s="63">
        <f>G13*H10</f>
        <v>245914.57126630287</v>
      </c>
      <c r="I13" s="68">
        <f>H13/H10</f>
        <v>0.22982670211804007</v>
      </c>
      <c r="J13" s="52">
        <f>0.3*J10</f>
        <v>348285</v>
      </c>
      <c r="K13" s="53">
        <f>J13/J10</f>
        <v>0.3</v>
      </c>
      <c r="L13" s="52">
        <f>0.3*L10</f>
        <v>365699.25</v>
      </c>
      <c r="M13" s="54">
        <f>L13/L10</f>
        <v>0.3</v>
      </c>
      <c r="N13" s="52">
        <f>0.3*N10</f>
        <v>383984.21249999997</v>
      </c>
      <c r="O13" s="54">
        <f>N13/N10</f>
        <v>0.3</v>
      </c>
    </row>
    <row r="14" spans="1:15" ht="8.25" customHeight="1" x14ac:dyDescent="0.35">
      <c r="B14" s="28"/>
      <c r="C14" s="27"/>
      <c r="D14" s="41"/>
      <c r="E14" s="47"/>
      <c r="F14" s="80"/>
      <c r="G14" s="79"/>
      <c r="H14" s="62"/>
      <c r="I14" s="67"/>
      <c r="J14" s="55"/>
      <c r="K14" s="57"/>
      <c r="L14" s="55"/>
      <c r="M14" s="58"/>
      <c r="N14" s="55"/>
      <c r="O14" s="58"/>
    </row>
    <row r="15" spans="1:15" x14ac:dyDescent="0.35">
      <c r="A15" s="3" t="s">
        <v>3</v>
      </c>
      <c r="B15" s="28">
        <f t="shared" ref="B15:O15" si="0">B10-B13</f>
        <v>455792</v>
      </c>
      <c r="C15" s="27">
        <f t="shared" si="0"/>
        <v>0.70892061131866524</v>
      </c>
      <c r="D15" s="41">
        <f t="shared" si="0"/>
        <v>485765</v>
      </c>
      <c r="E15" s="47">
        <f t="shared" si="0"/>
        <v>0.69929662217410837</v>
      </c>
      <c r="F15" s="80">
        <f t="shared" si="0"/>
        <v>758050</v>
      </c>
      <c r="G15" s="79">
        <f t="shared" si="0"/>
        <v>0.77017329788195998</v>
      </c>
      <c r="H15" s="62">
        <f t="shared" si="0"/>
        <v>824085.42873369716</v>
      </c>
      <c r="I15" s="67">
        <f t="shared" si="0"/>
        <v>0.77017329788195998</v>
      </c>
      <c r="J15" s="55">
        <f t="shared" si="0"/>
        <v>812665</v>
      </c>
      <c r="K15" s="57">
        <f t="shared" si="0"/>
        <v>0.7</v>
      </c>
      <c r="L15" s="55">
        <f>L10-L13</f>
        <v>853298.25</v>
      </c>
      <c r="M15" s="58">
        <f t="shared" si="0"/>
        <v>0.7</v>
      </c>
      <c r="N15" s="55">
        <f t="shared" si="0"/>
        <v>895963.16250000009</v>
      </c>
      <c r="O15" s="58">
        <f t="shared" si="0"/>
        <v>0.7</v>
      </c>
    </row>
    <row r="16" spans="1:15" ht="11.25" customHeight="1" x14ac:dyDescent="0.35">
      <c r="B16" s="28"/>
      <c r="C16" s="27"/>
      <c r="D16" s="41"/>
      <c r="E16" s="47"/>
      <c r="F16" s="80"/>
      <c r="G16" s="79"/>
      <c r="H16" s="62"/>
      <c r="I16" s="67"/>
      <c r="J16" s="55"/>
      <c r="K16" s="57"/>
      <c r="L16" s="55"/>
      <c r="M16" s="58"/>
      <c r="N16" s="55"/>
      <c r="O16" s="58"/>
    </row>
    <row r="17" spans="1:15" x14ac:dyDescent="0.35">
      <c r="A17" s="3" t="s">
        <v>4</v>
      </c>
      <c r="B17" s="26"/>
      <c r="C17" s="27"/>
      <c r="D17" s="41"/>
      <c r="E17" s="47"/>
      <c r="F17" s="80"/>
      <c r="G17" s="79"/>
      <c r="H17" s="62"/>
      <c r="I17" s="67"/>
      <c r="J17" s="55"/>
      <c r="K17" s="57"/>
      <c r="L17" s="55"/>
      <c r="M17" s="58"/>
      <c r="N17" s="55"/>
      <c r="O17" s="58"/>
    </row>
    <row r="18" spans="1:15" ht="5.25" customHeight="1" x14ac:dyDescent="0.35">
      <c r="B18" s="28"/>
      <c r="C18" s="27"/>
      <c r="D18" s="41"/>
      <c r="E18" s="47"/>
      <c r="F18" s="80"/>
      <c r="G18" s="79"/>
      <c r="H18" s="62"/>
      <c r="I18" s="67"/>
      <c r="J18" s="55"/>
      <c r="K18" s="57"/>
      <c r="L18" s="55"/>
      <c r="M18" s="58"/>
      <c r="N18" s="55"/>
      <c r="O18" s="58"/>
    </row>
    <row r="19" spans="1:15" x14ac:dyDescent="0.35">
      <c r="A19" t="s">
        <v>48</v>
      </c>
      <c r="B19" s="28">
        <v>74218</v>
      </c>
      <c r="C19" s="27">
        <f>B19/B10</f>
        <v>0.11543570297602568</v>
      </c>
      <c r="D19" s="41">
        <v>69339</v>
      </c>
      <c r="E19" s="47">
        <f>D19/D10</f>
        <v>9.9818901083714343E-2</v>
      </c>
      <c r="F19" s="80">
        <v>166000</v>
      </c>
      <c r="G19" s="79">
        <f>F19/F10</f>
        <v>0.16865479513014359</v>
      </c>
      <c r="H19" s="62">
        <v>166000</v>
      </c>
      <c r="I19" s="67">
        <f>H19/H10</f>
        <v>0.15514018691588785</v>
      </c>
      <c r="J19" s="55"/>
      <c r="K19" s="56">
        <f>J19/J10</f>
        <v>0</v>
      </c>
      <c r="L19" s="55"/>
      <c r="M19" s="56">
        <f>L19/L10</f>
        <v>0</v>
      </c>
      <c r="N19" s="55"/>
      <c r="O19" s="56">
        <f>N19/N10</f>
        <v>0</v>
      </c>
    </row>
    <row r="20" spans="1:15" x14ac:dyDescent="0.35">
      <c r="A20" t="s">
        <v>73</v>
      </c>
      <c r="B20" s="28">
        <v>215979</v>
      </c>
      <c r="C20" s="27">
        <f>B20/B10</f>
        <v>0.33592508142309213</v>
      </c>
      <c r="D20" s="41">
        <v>255614</v>
      </c>
      <c r="E20" s="47">
        <f>D20/D10</f>
        <v>0.36797629878729948</v>
      </c>
      <c r="F20" s="80">
        <f>418236-166000</f>
        <v>252236</v>
      </c>
      <c r="G20" s="79">
        <f>F20/F10</f>
        <v>0.25626994520751145</v>
      </c>
      <c r="H20" s="62">
        <f>758000-166000-H13</f>
        <v>346085.42873369716</v>
      </c>
      <c r="I20" s="67">
        <f>H20/H10</f>
        <v>0.32344432591934313</v>
      </c>
      <c r="J20" s="113">
        <f>0.16*J10</f>
        <v>185752</v>
      </c>
      <c r="K20" s="114">
        <f>J20/J10</f>
        <v>0.16</v>
      </c>
      <c r="L20" s="113">
        <f>0.16*L10</f>
        <v>195039.6</v>
      </c>
      <c r="M20" s="115">
        <f>L20/L10</f>
        <v>0.16</v>
      </c>
      <c r="N20" s="113">
        <f>0.16*N10</f>
        <v>204791.58000000002</v>
      </c>
      <c r="O20" s="115">
        <f>N20/N10</f>
        <v>0.16</v>
      </c>
    </row>
    <row r="21" spans="1:15" x14ac:dyDescent="0.35">
      <c r="A21" s="110" t="s">
        <v>74</v>
      </c>
      <c r="B21" s="28">
        <v>34929</v>
      </c>
      <c r="C21" s="30">
        <f>B21/B10</f>
        <v>5.4327166849680683E-2</v>
      </c>
      <c r="D21" s="41">
        <v>44488</v>
      </c>
      <c r="E21" s="48">
        <f>D21/D10</f>
        <v>6.4043947438126941E-2</v>
      </c>
      <c r="F21" s="81">
        <v>0</v>
      </c>
      <c r="G21" s="82">
        <f>F21/F10</f>
        <v>0</v>
      </c>
      <c r="H21" s="63"/>
      <c r="I21" s="68">
        <f>H21/H10</f>
        <v>0</v>
      </c>
      <c r="J21" s="117">
        <f>(0.14*J10)</f>
        <v>162533.00000000003</v>
      </c>
      <c r="K21" s="116">
        <f>J21/J10</f>
        <v>0.14000000000000001</v>
      </c>
      <c r="L21" s="117">
        <f>0.14*L10</f>
        <v>170659.65000000002</v>
      </c>
      <c r="M21" s="120">
        <f>L21/L10</f>
        <v>0.14000000000000001</v>
      </c>
      <c r="N21" s="117">
        <f>0.14*N10</f>
        <v>179192.63250000001</v>
      </c>
      <c r="O21" s="120">
        <f>N21/N10</f>
        <v>0.14000000000000001</v>
      </c>
    </row>
    <row r="22" spans="1:15" x14ac:dyDescent="0.35">
      <c r="B22" s="28"/>
      <c r="C22" s="27">
        <f>SUM(C19:C21)</f>
        <v>0.50568795124879851</v>
      </c>
      <c r="D22" s="41"/>
      <c r="E22" s="47">
        <f>SUM(E19:E21)</f>
        <v>0.53183914730914073</v>
      </c>
      <c r="F22" s="80">
        <f>SUM(F19:F21)</f>
        <v>418236</v>
      </c>
      <c r="G22" s="79">
        <f>SUM(G19:G21)</f>
        <v>0.42492474033765504</v>
      </c>
      <c r="H22" s="62">
        <f>SUM(H19:H21)</f>
        <v>512085.42873369716</v>
      </c>
      <c r="I22" s="67">
        <f>SUM(I19:I21)</f>
        <v>0.47858451283523096</v>
      </c>
      <c r="J22" s="55">
        <f>SUM(J20:J21)</f>
        <v>348285</v>
      </c>
      <c r="K22" s="57">
        <f>SUM(K19:K21)</f>
        <v>0.30000000000000004</v>
      </c>
      <c r="L22" s="55">
        <f>SUM(L20:L21)</f>
        <v>365699.25</v>
      </c>
      <c r="M22" s="58"/>
      <c r="N22" s="55">
        <f>SUM(N20:N21)</f>
        <v>383984.21250000002</v>
      </c>
      <c r="O22" s="58"/>
    </row>
    <row r="23" spans="1:15" x14ac:dyDescent="0.35">
      <c r="A23" s="3" t="s">
        <v>14</v>
      </c>
      <c r="B23" s="26"/>
      <c r="C23" s="27"/>
      <c r="D23" s="41"/>
      <c r="E23" s="47"/>
      <c r="F23" s="80"/>
      <c r="G23" s="79"/>
      <c r="H23" s="62"/>
      <c r="I23" s="67"/>
      <c r="J23" s="55"/>
      <c r="K23" s="57"/>
      <c r="L23" s="55"/>
      <c r="M23" s="58"/>
      <c r="N23" s="55"/>
      <c r="O23" s="58"/>
    </row>
    <row r="24" spans="1:15" x14ac:dyDescent="0.35">
      <c r="A24" t="s">
        <v>13</v>
      </c>
      <c r="B24" s="28">
        <v>9002</v>
      </c>
      <c r="C24" s="27">
        <f>B24/B10</f>
        <v>1.400135005241563E-2</v>
      </c>
      <c r="D24" s="41">
        <v>10302</v>
      </c>
      <c r="E24" s="47">
        <f>D24/D10</f>
        <v>1.4830532874203913E-2</v>
      </c>
      <c r="F24" s="80">
        <v>5521</v>
      </c>
      <c r="G24" s="79">
        <f>F24/F10</f>
        <v>5.6092959271898963E-3</v>
      </c>
      <c r="H24" s="62">
        <v>6000</v>
      </c>
      <c r="I24" s="67">
        <f>H24/H10</f>
        <v>5.6074766355140183E-3</v>
      </c>
      <c r="J24" s="121">
        <f>F24+5000</f>
        <v>10521</v>
      </c>
      <c r="K24" s="114">
        <f>J24/J10</f>
        <v>9.0624057883629781E-3</v>
      </c>
      <c r="L24" s="113">
        <f>0.005*L10</f>
        <v>6094.9875000000002</v>
      </c>
      <c r="M24" s="115">
        <f>L24/L10</f>
        <v>5.0000000000000001E-3</v>
      </c>
      <c r="N24" s="113">
        <f>0.005*N10</f>
        <v>6399.7368750000005</v>
      </c>
      <c r="O24" s="115">
        <f>N24/N10</f>
        <v>5.0000000000000001E-3</v>
      </c>
    </row>
    <row r="25" spans="1:15" x14ac:dyDescent="0.35">
      <c r="A25" t="s">
        <v>5</v>
      </c>
      <c r="B25" s="28">
        <f>3980+460</f>
        <v>4440</v>
      </c>
      <c r="C25" s="27">
        <f>B25/B10</f>
        <v>6.9057980707315477E-3</v>
      </c>
      <c r="D25" s="41">
        <f>500+2411</f>
        <v>2911</v>
      </c>
      <c r="E25" s="47">
        <f>D25/D10</f>
        <v>4.1906116479137638E-3</v>
      </c>
      <c r="F25" s="80">
        <v>10034</v>
      </c>
      <c r="G25" s="79">
        <f>F25/F10</f>
        <v>1.0194471170697956E-2</v>
      </c>
      <c r="H25" s="62">
        <v>14000</v>
      </c>
      <c r="I25" s="67">
        <f>H25/H10</f>
        <v>1.3084112149532711E-2</v>
      </c>
      <c r="J25" s="113">
        <f>0.01*J10</f>
        <v>11609.5</v>
      </c>
      <c r="K25" s="114">
        <f>J25/J10</f>
        <v>0.01</v>
      </c>
      <c r="L25" s="113">
        <f>0.01*L10</f>
        <v>12189.975</v>
      </c>
      <c r="M25" s="115">
        <f>L25/L10</f>
        <v>0.01</v>
      </c>
      <c r="N25" s="113">
        <f>0.01*N10</f>
        <v>12799.473750000001</v>
      </c>
      <c r="O25" s="115">
        <f>N25/N10</f>
        <v>0.01</v>
      </c>
    </row>
    <row r="26" spans="1:15" x14ac:dyDescent="0.35">
      <c r="A26" t="s">
        <v>72</v>
      </c>
      <c r="B26" s="28"/>
      <c r="C26" s="27">
        <f>B26/B10</f>
        <v>0</v>
      </c>
      <c r="D26" s="41">
        <v>0</v>
      </c>
      <c r="E26" s="47">
        <f>D26/D10</f>
        <v>0</v>
      </c>
      <c r="F26" s="80">
        <v>7276</v>
      </c>
      <c r="G26" s="79">
        <f>F26/F10</f>
        <v>7.3923631889573783E-3</v>
      </c>
      <c r="H26" s="62">
        <v>4000</v>
      </c>
      <c r="I26" s="67">
        <f>H26/H10</f>
        <v>3.7383177570093459E-3</v>
      </c>
      <c r="J26" s="55">
        <f>J10*0.002</f>
        <v>2321.9</v>
      </c>
      <c r="K26" s="57">
        <f>J26/J10</f>
        <v>2E-3</v>
      </c>
      <c r="L26" s="55">
        <f>L10*0.002</f>
        <v>2437.9949999999999</v>
      </c>
      <c r="M26" s="56">
        <f>L26/L10</f>
        <v>2E-3</v>
      </c>
      <c r="N26" s="55">
        <f>N10*0.002</f>
        <v>2559.8947499999999</v>
      </c>
      <c r="O26" s="56">
        <f>N26/N10</f>
        <v>2E-3</v>
      </c>
    </row>
    <row r="27" spans="1:15" x14ac:dyDescent="0.35">
      <c r="A27" t="s">
        <v>65</v>
      </c>
      <c r="B27" s="28">
        <v>4898</v>
      </c>
      <c r="C27" s="27">
        <f>B27/B10</f>
        <v>7.6181529167664687E-3</v>
      </c>
      <c r="D27" s="41">
        <v>5060</v>
      </c>
      <c r="E27" s="47">
        <f>D27/D10</f>
        <v>7.284264836291186E-3</v>
      </c>
      <c r="F27" s="80">
        <f>6921+12629</f>
        <v>19550</v>
      </c>
      <c r="G27" s="79">
        <f>F27/F10</f>
        <v>1.9862658101170525E-2</v>
      </c>
      <c r="H27" s="62">
        <v>18000</v>
      </c>
      <c r="I27" s="67">
        <f>H27/H10</f>
        <v>1.6822429906542057E-2</v>
      </c>
      <c r="J27" s="55">
        <v>9000</v>
      </c>
      <c r="K27" s="57">
        <f>J27/J10</f>
        <v>7.752271846332745E-3</v>
      </c>
      <c r="L27" s="55">
        <v>9000</v>
      </c>
      <c r="M27" s="56">
        <f>L27/L10</f>
        <v>7.3831160441264233E-3</v>
      </c>
      <c r="N27" s="55">
        <v>9000</v>
      </c>
      <c r="O27" s="56">
        <f>N27/N10</f>
        <v>7.0315390896442129E-3</v>
      </c>
    </row>
    <row r="28" spans="1:15" x14ac:dyDescent="0.35">
      <c r="B28" s="28">
        <v>311</v>
      </c>
      <c r="C28" s="27">
        <f>B28/B10</f>
        <v>4.8371693693637644E-4</v>
      </c>
      <c r="D28" s="41">
        <v>1763</v>
      </c>
      <c r="E28" s="47">
        <f>D28/D10</f>
        <v>2.5379760684548147E-3</v>
      </c>
      <c r="F28" s="80"/>
      <c r="G28" s="79">
        <f>F28/F10</f>
        <v>0</v>
      </c>
      <c r="H28" s="62"/>
      <c r="I28" s="67">
        <f>H28/H10</f>
        <v>0</v>
      </c>
      <c r="J28" s="55"/>
      <c r="K28" s="57">
        <f>J28/J10</f>
        <v>0</v>
      </c>
      <c r="L28" s="55"/>
      <c r="M28" s="58">
        <f>L28/L10</f>
        <v>0</v>
      </c>
      <c r="N28" s="55"/>
      <c r="O28" s="58">
        <f>N28/N10</f>
        <v>0</v>
      </c>
    </row>
    <row r="29" spans="1:15" x14ac:dyDescent="0.35">
      <c r="A29" t="s">
        <v>71</v>
      </c>
      <c r="B29" s="28"/>
      <c r="C29" s="27">
        <f>B29/B10</f>
        <v>0</v>
      </c>
      <c r="D29" s="41">
        <v>0</v>
      </c>
      <c r="E29" s="47">
        <f>D29/D10</f>
        <v>0</v>
      </c>
      <c r="F29" s="80"/>
      <c r="G29" s="79">
        <f>F29/F10</f>
        <v>0</v>
      </c>
      <c r="H29" s="62">
        <v>0</v>
      </c>
      <c r="I29" s="67">
        <f>H29/H10</f>
        <v>0</v>
      </c>
      <c r="J29" s="113">
        <v>27926</v>
      </c>
      <c r="K29" s="114">
        <f>J29/J10</f>
        <v>2.4054438175632027E-2</v>
      </c>
      <c r="L29" s="113">
        <v>24115</v>
      </c>
      <c r="M29" s="119">
        <f>L29/L10</f>
        <v>1.9782649267123191E-2</v>
      </c>
      <c r="N29" s="113">
        <v>20118</v>
      </c>
      <c r="O29" s="58">
        <f>N29/N10</f>
        <v>1.5717833711718032E-2</v>
      </c>
    </row>
    <row r="30" spans="1:15" x14ac:dyDescent="0.35">
      <c r="A30" t="s">
        <v>44</v>
      </c>
      <c r="B30" s="28">
        <v>12072</v>
      </c>
      <c r="C30" s="27"/>
      <c r="D30" s="41">
        <v>12850</v>
      </c>
      <c r="E30" s="47"/>
      <c r="F30" s="80">
        <v>13419</v>
      </c>
      <c r="G30" s="79">
        <f>F30/F10</f>
        <v>1.3633606601514438E-2</v>
      </c>
      <c r="H30" s="62">
        <v>16000</v>
      </c>
      <c r="I30" s="67">
        <f>H30/H10</f>
        <v>1.4953271028037384E-2</v>
      </c>
      <c r="J30" s="55">
        <f>J10*0.004</f>
        <v>4643.8</v>
      </c>
      <c r="K30" s="57">
        <f>J30/J10</f>
        <v>4.0000000000000001E-3</v>
      </c>
      <c r="L30" s="55">
        <f>L10*0.004</f>
        <v>4875.99</v>
      </c>
      <c r="M30" s="56">
        <f>L30/L10</f>
        <v>4.0000000000000001E-3</v>
      </c>
      <c r="N30" s="55">
        <f>N10*0.004</f>
        <v>5119.7894999999999</v>
      </c>
      <c r="O30" s="56">
        <f>N30/N10</f>
        <v>4.0000000000000001E-3</v>
      </c>
    </row>
    <row r="31" spans="1:15" x14ac:dyDescent="0.35">
      <c r="A31" t="s">
        <v>81</v>
      </c>
      <c r="B31" s="28">
        <v>1469</v>
      </c>
      <c r="C31" s="27">
        <f>B31/B10</f>
        <v>2.2848237310596044E-3</v>
      </c>
      <c r="D31" s="41">
        <v>1348</v>
      </c>
      <c r="E31" s="47">
        <f>D31/D10</f>
        <v>1.9405511856364663E-3</v>
      </c>
      <c r="F31" s="80"/>
      <c r="G31" s="79">
        <f>F31/F10</f>
        <v>0</v>
      </c>
      <c r="H31" s="62"/>
      <c r="I31" s="67">
        <f>H31/H10</f>
        <v>0</v>
      </c>
      <c r="J31" s="55">
        <v>1500</v>
      </c>
      <c r="K31" s="57">
        <f>J31/J10</f>
        <v>1.2920453077221242E-3</v>
      </c>
      <c r="L31" s="55">
        <v>1500</v>
      </c>
      <c r="M31" s="58">
        <f>L31/L10</f>
        <v>1.2305193406877374E-3</v>
      </c>
      <c r="N31" s="55">
        <v>1500</v>
      </c>
      <c r="O31" s="58">
        <f>N31/N10</f>
        <v>1.1719231816073687E-3</v>
      </c>
    </row>
    <row r="32" spans="1:15" x14ac:dyDescent="0.35">
      <c r="A32" t="s">
        <v>12</v>
      </c>
      <c r="B32" s="28">
        <f>10288+4247</f>
        <v>14535</v>
      </c>
      <c r="C32" s="27">
        <f>B32/B10</f>
        <v>2.2607156522090777E-2</v>
      </c>
      <c r="D32" s="41">
        <f>4219+11411</f>
        <v>15630</v>
      </c>
      <c r="E32" s="47">
        <f>D32/D10</f>
        <v>2.2500604622772973E-2</v>
      </c>
      <c r="F32" s="80">
        <v>10882</v>
      </c>
      <c r="G32" s="79">
        <f>F32/F10</f>
        <v>1.1056033015700135E-2</v>
      </c>
      <c r="H32" s="62">
        <v>14000</v>
      </c>
      <c r="I32" s="67">
        <f>H32/H10</f>
        <v>1.3084112149532711E-2</v>
      </c>
      <c r="J32" s="55">
        <f>0.01*J10</f>
        <v>11609.5</v>
      </c>
      <c r="K32" s="57">
        <f>J32/J10</f>
        <v>0.01</v>
      </c>
      <c r="L32" s="55">
        <f>0.01*L10</f>
        <v>12189.975</v>
      </c>
      <c r="M32" s="58">
        <f>L32/L10</f>
        <v>0.01</v>
      </c>
      <c r="N32" s="55">
        <f>0.01*N10</f>
        <v>12799.473750000001</v>
      </c>
      <c r="O32" s="58">
        <f>N32/N10</f>
        <v>0.01</v>
      </c>
    </row>
    <row r="33" spans="1:15" x14ac:dyDescent="0.35">
      <c r="A33" t="s">
        <v>7</v>
      </c>
      <c r="B33" s="31">
        <v>1316</v>
      </c>
      <c r="C33" s="30">
        <f>B33/B10</f>
        <v>2.0468536624060176E-3</v>
      </c>
      <c r="D33" s="42">
        <v>1360</v>
      </c>
      <c r="E33" s="48">
        <f>D33/D10</f>
        <v>1.9578261220071173E-3</v>
      </c>
      <c r="F33" s="81">
        <v>191</v>
      </c>
      <c r="G33" s="82">
        <f>F33/F10</f>
        <v>1.9405461367383992E-4</v>
      </c>
      <c r="H33" s="63">
        <v>0</v>
      </c>
      <c r="I33" s="68">
        <f>H33/H10</f>
        <v>0</v>
      </c>
      <c r="J33" s="117">
        <v>1350</v>
      </c>
      <c r="K33" s="116">
        <f>J33/J10</f>
        <v>1.1628407769499118E-3</v>
      </c>
      <c r="L33" s="117">
        <v>1350</v>
      </c>
      <c r="M33" s="118">
        <f>L33/L10</f>
        <v>1.1074674066189635E-3</v>
      </c>
      <c r="N33" s="117">
        <v>1350</v>
      </c>
      <c r="O33" s="54">
        <f>N33/N10</f>
        <v>1.0547308634466319E-3</v>
      </c>
    </row>
    <row r="34" spans="1:15" s="3" customFormat="1" x14ac:dyDescent="0.35">
      <c r="A34" s="3" t="s">
        <v>10</v>
      </c>
      <c r="B34" s="26">
        <f>SUM(B24:B33)</f>
        <v>48043</v>
      </c>
      <c r="C34" s="32">
        <f>B34/B10</f>
        <v>7.4724156917152201E-2</v>
      </c>
      <c r="D34" s="43">
        <f>SUM(D24:D33)</f>
        <v>51224</v>
      </c>
      <c r="E34" s="49">
        <f>D34/D10</f>
        <v>7.3740945054185714E-2</v>
      </c>
      <c r="F34" s="83">
        <f>SUM(F24:F33)</f>
        <v>66873</v>
      </c>
      <c r="G34" s="84">
        <f>F33:F34/F10</f>
        <v>6.7942482618904176E-2</v>
      </c>
      <c r="H34" s="64">
        <f>SUM(H24:H33)</f>
        <v>72000</v>
      </c>
      <c r="I34" s="69">
        <f>H33:H34/H10</f>
        <v>6.7289719626168226E-2</v>
      </c>
      <c r="J34" s="59">
        <f>SUM(J24:J33)</f>
        <v>80481.7</v>
      </c>
      <c r="K34" s="60">
        <f>J33:J34/J10</f>
        <v>6.9324001894999779E-2</v>
      </c>
      <c r="L34" s="59">
        <f>SUM(L24:L33)</f>
        <v>73753.922500000001</v>
      </c>
      <c r="M34" s="61">
        <f>L33:L34/L10</f>
        <v>6.0503752058556313E-2</v>
      </c>
      <c r="N34" s="59">
        <f>SUM(N24:N33)</f>
        <v>71646.368625000003</v>
      </c>
      <c r="O34" s="61">
        <f>N33:N34/N10</f>
        <v>5.5976026846416248E-2</v>
      </c>
    </row>
    <row r="35" spans="1:15" x14ac:dyDescent="0.35">
      <c r="B35" s="28"/>
      <c r="C35" s="27"/>
      <c r="D35" s="41"/>
      <c r="E35" s="47"/>
      <c r="F35" s="80"/>
      <c r="G35" s="79"/>
      <c r="H35" s="62"/>
      <c r="I35" s="67"/>
      <c r="J35" s="55"/>
      <c r="K35" s="57"/>
      <c r="L35" s="55"/>
      <c r="M35" s="58"/>
      <c r="N35" s="55"/>
      <c r="O35" s="58"/>
    </row>
    <row r="36" spans="1:15" x14ac:dyDescent="0.35">
      <c r="B36" s="23">
        <v>2012</v>
      </c>
      <c r="C36" s="24" t="s">
        <v>17</v>
      </c>
      <c r="D36" s="39">
        <v>2013</v>
      </c>
      <c r="E36" s="46" t="s">
        <v>17</v>
      </c>
      <c r="F36" s="78" t="s">
        <v>60</v>
      </c>
      <c r="G36" s="79" t="s">
        <v>17</v>
      </c>
      <c r="H36" s="93" t="s">
        <v>42</v>
      </c>
      <c r="I36" s="67" t="s">
        <v>17</v>
      </c>
      <c r="J36" s="19" t="s">
        <v>43</v>
      </c>
      <c r="K36" s="20" t="s">
        <v>17</v>
      </c>
      <c r="L36" s="19" t="s">
        <v>57</v>
      </c>
      <c r="M36" s="21" t="s">
        <v>17</v>
      </c>
      <c r="N36" s="19" t="s">
        <v>58</v>
      </c>
      <c r="O36" s="21" t="s">
        <v>17</v>
      </c>
    </row>
    <row r="37" spans="1:15" x14ac:dyDescent="0.35">
      <c r="A37" s="3" t="s">
        <v>15</v>
      </c>
      <c r="B37" s="26"/>
      <c r="C37" s="27"/>
      <c r="D37" s="41"/>
      <c r="E37" s="47"/>
      <c r="F37" s="80"/>
      <c r="G37" s="79"/>
      <c r="H37" s="62"/>
      <c r="I37" s="67"/>
      <c r="J37" s="22"/>
      <c r="K37" s="20"/>
      <c r="L37" s="22"/>
      <c r="M37" s="21"/>
      <c r="N37" s="22"/>
      <c r="O37" s="21"/>
    </row>
    <row r="38" spans="1:15" x14ac:dyDescent="0.35">
      <c r="A38" t="s">
        <v>6</v>
      </c>
      <c r="B38" s="28">
        <v>47401</v>
      </c>
      <c r="C38" s="27">
        <f>B38/B10</f>
        <v>7.3725615844762643E-2</v>
      </c>
      <c r="D38" s="41">
        <v>55290</v>
      </c>
      <c r="E38" s="47">
        <f>D38/D10</f>
        <v>7.9594269327774636E-2</v>
      </c>
      <c r="F38" s="80">
        <v>30746</v>
      </c>
      <c r="G38" s="79">
        <f>F38/F10</f>
        <v>3.1237712837779485E-2</v>
      </c>
      <c r="H38" s="62">
        <v>34000</v>
      </c>
      <c r="I38" s="67">
        <f>H38/H10</f>
        <v>3.1775700934579439E-2</v>
      </c>
      <c r="J38" s="113">
        <f>H38</f>
        <v>34000</v>
      </c>
      <c r="K38" s="114">
        <f>J38/J10</f>
        <v>2.9286360308368148E-2</v>
      </c>
      <c r="L38" s="113">
        <f>H38</f>
        <v>34000</v>
      </c>
      <c r="M38" s="119">
        <f>L38/L10</f>
        <v>2.7891771722255376E-2</v>
      </c>
      <c r="N38" s="113">
        <f>H38</f>
        <v>34000</v>
      </c>
      <c r="O38" s="58">
        <f>N38/N10</f>
        <v>2.6563592116433693E-2</v>
      </c>
    </row>
    <row r="39" spans="1:15" x14ac:dyDescent="0.35">
      <c r="A39" t="s">
        <v>8</v>
      </c>
      <c r="B39" s="28">
        <v>11533</v>
      </c>
      <c r="C39" s="27">
        <f>B39/B10</f>
        <v>1.793796602471778E-2</v>
      </c>
      <c r="D39" s="41">
        <v>5696</v>
      </c>
      <c r="E39" s="47">
        <f>D39/D10</f>
        <v>8.1998364639356905E-3</v>
      </c>
      <c r="F39" s="80">
        <v>8866</v>
      </c>
      <c r="G39" s="79">
        <f>F39/F10</f>
        <v>9.0077916483364637E-3</v>
      </c>
      <c r="H39" s="62">
        <v>2000</v>
      </c>
      <c r="I39" s="67">
        <f>H39/H10</f>
        <v>1.869158878504673E-3</v>
      </c>
      <c r="J39" s="55">
        <f>0.005*J10</f>
        <v>5804.75</v>
      </c>
      <c r="K39" s="57">
        <f>J39/J10</f>
        <v>5.0000000000000001E-3</v>
      </c>
      <c r="L39" s="55">
        <f>0.005*L10</f>
        <v>6094.9875000000002</v>
      </c>
      <c r="M39" s="56">
        <f>L39/L10</f>
        <v>5.0000000000000001E-3</v>
      </c>
      <c r="N39" s="55">
        <f>0.005*N10</f>
        <v>6399.7368750000005</v>
      </c>
      <c r="O39" s="56">
        <f>N39/N10</f>
        <v>5.0000000000000001E-3</v>
      </c>
    </row>
    <row r="40" spans="1:15" x14ac:dyDescent="0.35">
      <c r="A40" t="s">
        <v>59</v>
      </c>
      <c r="B40" s="28">
        <v>12569</v>
      </c>
      <c r="C40" s="27">
        <f>B40/B10</f>
        <v>1.9549318907888476E-2</v>
      </c>
      <c r="D40" s="41">
        <v>12569</v>
      </c>
      <c r="E40" s="47">
        <f>D40/D10</f>
        <v>1.8094056270226071E-2</v>
      </c>
      <c r="F40" s="80">
        <v>0</v>
      </c>
      <c r="G40" s="79">
        <f>F40/F10</f>
        <v>0</v>
      </c>
      <c r="H40" s="62"/>
      <c r="I40" s="67">
        <f>H40/H10</f>
        <v>0</v>
      </c>
      <c r="J40" s="55">
        <f>0.0035*J10</f>
        <v>4063.3250000000003</v>
      </c>
      <c r="K40" s="57">
        <f>J40/J10</f>
        <v>3.5000000000000001E-3</v>
      </c>
      <c r="L40" s="55">
        <f>0.0035*L10</f>
        <v>4266.49125</v>
      </c>
      <c r="M40" s="56">
        <f>L40/L10</f>
        <v>3.5000000000000001E-3</v>
      </c>
      <c r="N40" s="55">
        <f>0.0035*N10</f>
        <v>4479.8158125</v>
      </c>
      <c r="O40" s="56">
        <f>N40/N10</f>
        <v>3.5000000000000001E-3</v>
      </c>
    </row>
    <row r="41" spans="1:15" x14ac:dyDescent="0.35">
      <c r="A41" t="s">
        <v>63</v>
      </c>
      <c r="B41" s="28">
        <v>2954</v>
      </c>
      <c r="C41" s="27">
        <f>B41/B10</f>
        <v>4.5945332209326563E-3</v>
      </c>
      <c r="D41" s="41">
        <v>1963</v>
      </c>
      <c r="E41" s="47">
        <f>D41/D10</f>
        <v>2.8258916746323318E-3</v>
      </c>
      <c r="F41" s="80">
        <v>10932</v>
      </c>
      <c r="G41" s="79">
        <f>F41/F10</f>
        <v>1.1106832652787528E-2</v>
      </c>
      <c r="H41" s="62">
        <v>10000</v>
      </c>
      <c r="I41" s="67">
        <f>H41/H10</f>
        <v>9.3457943925233638E-3</v>
      </c>
      <c r="J41" s="55">
        <f>0.007*J10</f>
        <v>8126.6500000000005</v>
      </c>
      <c r="K41" s="57">
        <f>J41/J10</f>
        <v>7.0000000000000001E-3</v>
      </c>
      <c r="L41" s="55">
        <f>0.007*L10</f>
        <v>8532.9825000000001</v>
      </c>
      <c r="M41" s="56">
        <f>L41/L10</f>
        <v>7.0000000000000001E-3</v>
      </c>
      <c r="N41" s="55">
        <f>0.007*N10</f>
        <v>8959.631625</v>
      </c>
      <c r="O41" s="56">
        <f>N41/N10</f>
        <v>7.0000000000000001E-3</v>
      </c>
    </row>
    <row r="42" spans="1:15" x14ac:dyDescent="0.35">
      <c r="A42" t="s">
        <v>64</v>
      </c>
      <c r="B42" s="31">
        <v>6494</v>
      </c>
      <c r="C42" s="30">
        <f>B42/B10</f>
        <v>1.0100507358407809E-2</v>
      </c>
      <c r="D42" s="42">
        <v>5664</v>
      </c>
      <c r="E42" s="48">
        <f>D42/D10</f>
        <v>8.1537699669472878E-3</v>
      </c>
      <c r="F42" s="81">
        <v>3591</v>
      </c>
      <c r="G42" s="82">
        <f>F42/F10</f>
        <v>3.6484299356165399E-3</v>
      </c>
      <c r="H42" s="63">
        <v>0</v>
      </c>
      <c r="I42" s="68">
        <f>H42/H10</f>
        <v>0</v>
      </c>
      <c r="J42" s="117">
        <v>3900</v>
      </c>
      <c r="K42" s="116">
        <f>J42/J10</f>
        <v>3.3593178000775226E-3</v>
      </c>
      <c r="L42" s="117">
        <v>4000</v>
      </c>
      <c r="M42" s="120">
        <f>L42/L10</f>
        <v>3.2813849085006328E-3</v>
      </c>
      <c r="N42" s="117">
        <v>4100</v>
      </c>
      <c r="O42" s="120">
        <f>N42/N10</f>
        <v>3.2032566963934748E-3</v>
      </c>
    </row>
    <row r="43" spans="1:15" s="3" customFormat="1" x14ac:dyDescent="0.35">
      <c r="A43" s="3" t="s">
        <v>11</v>
      </c>
      <c r="B43" s="26">
        <f>SUM(B38:B42)</f>
        <v>80951</v>
      </c>
      <c r="C43" s="32">
        <f>B43/B10</f>
        <v>0.12590794135670935</v>
      </c>
      <c r="D43" s="43">
        <f>SUM(D38:D42)</f>
        <v>81182</v>
      </c>
      <c r="E43" s="49">
        <f>D43/D10</f>
        <v>0.11686782370351602</v>
      </c>
      <c r="F43" s="83">
        <f>SUM(F38:F42)</f>
        <v>54135</v>
      </c>
      <c r="G43" s="84">
        <f>F43/F10</f>
        <v>5.5000767074520021E-2</v>
      </c>
      <c r="H43" s="64">
        <f>SUM(H38:H42)</f>
        <v>46000</v>
      </c>
      <c r="I43" s="69">
        <f>H43/H10</f>
        <v>4.2990654205607479E-2</v>
      </c>
      <c r="J43" s="59">
        <f>SUM(J38:J42)</f>
        <v>55894.724999999999</v>
      </c>
      <c r="K43" s="60">
        <f>J43/J10</f>
        <v>4.8145678108445666E-2</v>
      </c>
      <c r="L43" s="59">
        <f>SUM(L38:L42)</f>
        <v>56894.46125</v>
      </c>
      <c r="M43" s="61">
        <f>L43/L10</f>
        <v>4.667315663075601E-2</v>
      </c>
      <c r="N43" s="59">
        <f>SUM(N38:N42)</f>
        <v>57939.184312500001</v>
      </c>
      <c r="O43" s="61">
        <f>N43/N10</f>
        <v>4.5266848812827172E-2</v>
      </c>
    </row>
    <row r="44" spans="1:15" s="105" customFormat="1" ht="31" customHeight="1" x14ac:dyDescent="0.35">
      <c r="A44" s="107" t="s">
        <v>47</v>
      </c>
      <c r="B44" s="94">
        <f>B15-B19-B20-B21-B34-B43</f>
        <v>1672</v>
      </c>
      <c r="C44" s="95"/>
      <c r="D44" s="96">
        <f>D15-D19-D20-D21-D34-D43</f>
        <v>-16082</v>
      </c>
      <c r="E44" s="97"/>
      <c r="F44" s="98">
        <f>F15-F19-F20-F21-F34-F43</f>
        <v>218806</v>
      </c>
      <c r="G44" s="99"/>
      <c r="H44" s="100">
        <f>H15-H19-H20-H21-H34-H43</f>
        <v>194000</v>
      </c>
      <c r="I44" s="101"/>
      <c r="J44" s="102">
        <f>J15-J19-J20-J21-J34-J43</f>
        <v>328003.57500000001</v>
      </c>
      <c r="K44" s="103"/>
      <c r="L44" s="102">
        <f>L15-L19-L20-L21-L34-L43</f>
        <v>356950.61625000002</v>
      </c>
      <c r="M44" s="104"/>
      <c r="N44" s="102">
        <f>N15-N19-N20-N21-N34-N43</f>
        <v>382393.39706250001</v>
      </c>
      <c r="O44" s="104"/>
    </row>
    <row r="45" spans="1:15" x14ac:dyDescent="0.35">
      <c r="A45" t="s">
        <v>66</v>
      </c>
      <c r="B45" s="28"/>
      <c r="C45" s="27"/>
      <c r="D45" s="41"/>
      <c r="E45" s="47"/>
      <c r="F45" s="80">
        <v>3746</v>
      </c>
      <c r="G45" s="79"/>
      <c r="H45" s="62"/>
      <c r="I45" s="67"/>
      <c r="J45" s="55">
        <v>0</v>
      </c>
      <c r="K45" s="57"/>
      <c r="L45" s="55">
        <v>0</v>
      </c>
      <c r="M45" s="58"/>
      <c r="N45" s="55">
        <v>0</v>
      </c>
      <c r="O45" s="58"/>
    </row>
    <row r="46" spans="1:15" x14ac:dyDescent="0.35">
      <c r="A46" t="s">
        <v>67</v>
      </c>
      <c r="B46" s="28"/>
      <c r="C46" s="27"/>
      <c r="D46" s="41"/>
      <c r="E46" s="47"/>
      <c r="F46" s="80">
        <v>27724</v>
      </c>
      <c r="G46" s="79"/>
      <c r="H46" s="62"/>
      <c r="I46" s="67"/>
      <c r="J46" s="55"/>
      <c r="K46" s="57"/>
      <c r="L46" s="55"/>
      <c r="M46" s="58"/>
      <c r="N46" s="55"/>
      <c r="O46" s="58"/>
    </row>
    <row r="47" spans="1:15" x14ac:dyDescent="0.35">
      <c r="A47" t="s">
        <v>9</v>
      </c>
      <c r="B47" s="28">
        <v>3682</v>
      </c>
      <c r="C47" s="27">
        <v>1.2E-2</v>
      </c>
      <c r="D47" s="41">
        <v>3193</v>
      </c>
      <c r="E47" s="47">
        <v>1.2E-2</v>
      </c>
      <c r="F47" s="80">
        <v>18672</v>
      </c>
      <c r="G47" s="79">
        <f>F47/F10</f>
        <v>1.8970616473915909E-2</v>
      </c>
      <c r="H47" s="62">
        <f>F47*0.95</f>
        <v>17738.399999999998</v>
      </c>
      <c r="I47" s="67">
        <f>H47/H10</f>
        <v>1.6577943925233644E-2</v>
      </c>
      <c r="J47" s="55">
        <f>H47*0.95</f>
        <v>16851.479999999996</v>
      </c>
      <c r="K47" s="57">
        <f>J47/J10</f>
        <v>1.451525044144881E-2</v>
      </c>
      <c r="L47" s="55">
        <f>J47*0.95</f>
        <v>16008.905999999995</v>
      </c>
      <c r="M47" s="58">
        <f>L47/L10</f>
        <v>1.3132845637501304E-2</v>
      </c>
      <c r="N47" s="55">
        <f>L47*0.95</f>
        <v>15208.460699999994</v>
      </c>
      <c r="O47" s="58">
        <f>N47/N10</f>
        <v>1.188209843392975E-2</v>
      </c>
    </row>
    <row r="48" spans="1:15" x14ac:dyDescent="0.35">
      <c r="B48" s="31">
        <v>0</v>
      </c>
      <c r="C48" s="30">
        <f>B48/B10</f>
        <v>0</v>
      </c>
      <c r="D48" s="42">
        <v>0</v>
      </c>
      <c r="E48" s="48">
        <f>D48/D10</f>
        <v>0</v>
      </c>
      <c r="F48" s="81"/>
      <c r="G48" s="82"/>
      <c r="H48" s="63"/>
      <c r="I48" s="68"/>
      <c r="J48" s="52"/>
      <c r="K48" s="54"/>
      <c r="L48" s="52"/>
      <c r="M48" s="54"/>
      <c r="N48" s="52"/>
      <c r="O48" s="54"/>
    </row>
    <row r="49" spans="1:15" s="3" customFormat="1" x14ac:dyDescent="0.35">
      <c r="A49" s="3" t="s">
        <v>16</v>
      </c>
      <c r="B49" s="26">
        <f>SUM(B47:B48)</f>
        <v>3682</v>
      </c>
      <c r="C49" s="32">
        <f>B49/B10</f>
        <v>5.7268352469444957E-3</v>
      </c>
      <c r="D49" s="43">
        <f>SUM(D47:D48)</f>
        <v>3193</v>
      </c>
      <c r="E49" s="49">
        <f>D49/D10</f>
        <v>4.5965726526240626E-3</v>
      </c>
      <c r="F49" s="83">
        <f>SUM(F45:F48)</f>
        <v>50142</v>
      </c>
      <c r="G49" s="84">
        <f>F49/F10</f>
        <v>5.0943908056720839E-2</v>
      </c>
      <c r="H49" s="64">
        <f>SUM(H45:H48)</f>
        <v>17738.399999999998</v>
      </c>
      <c r="I49" s="69">
        <f>H49/H10</f>
        <v>1.6577943925233644E-2</v>
      </c>
      <c r="J49" s="59">
        <f>SUM(J45:J48)</f>
        <v>16851.479999999996</v>
      </c>
      <c r="K49" s="60">
        <f>J49/J10</f>
        <v>1.451525044144881E-2</v>
      </c>
      <c r="L49" s="59">
        <f>SUM(L45:L48)</f>
        <v>16008.905999999995</v>
      </c>
      <c r="M49" s="61">
        <f>L49/L10</f>
        <v>1.3132845637501304E-2</v>
      </c>
      <c r="N49" s="59">
        <f>SUM(N45:N48)</f>
        <v>15208.460699999994</v>
      </c>
      <c r="O49" s="61">
        <f>N49/N10</f>
        <v>1.188209843392975E-2</v>
      </c>
    </row>
    <row r="50" spans="1:15" x14ac:dyDescent="0.35">
      <c r="B50" s="28"/>
      <c r="C50" s="27"/>
      <c r="D50" s="41"/>
      <c r="E50" s="47"/>
      <c r="F50" s="80"/>
      <c r="G50" s="79"/>
      <c r="H50" s="62"/>
      <c r="I50" s="67"/>
      <c r="J50" s="55"/>
      <c r="K50" s="57"/>
      <c r="L50" s="55"/>
      <c r="M50" s="58"/>
      <c r="N50" s="55"/>
      <c r="O50" s="58"/>
    </row>
    <row r="51" spans="1:15" s="3" customFormat="1" ht="15" thickBot="1" x14ac:dyDescent="0.4">
      <c r="A51" s="3" t="s">
        <v>82</v>
      </c>
      <c r="B51" s="33">
        <f>B44-B47</f>
        <v>-2010</v>
      </c>
      <c r="C51" s="34">
        <f>B51/B10</f>
        <v>-3.1262734509392817E-3</v>
      </c>
      <c r="D51" s="44">
        <f>D44-D47</f>
        <v>-19275</v>
      </c>
      <c r="E51" s="50">
        <f>D51/D10</f>
        <v>-2.7747866545358223E-2</v>
      </c>
      <c r="F51" s="85">
        <f>F44-F49</f>
        <v>168664</v>
      </c>
      <c r="G51" s="86">
        <f>F51/F10</f>
        <v>0.17136139979415987</v>
      </c>
      <c r="H51" s="65">
        <f>H44-H49</f>
        <v>176261.6</v>
      </c>
      <c r="I51" s="70">
        <f>H51/H10</f>
        <v>0.16473046728971963</v>
      </c>
      <c r="J51" s="72">
        <f>J44-J49</f>
        <v>311152.09500000003</v>
      </c>
      <c r="K51" s="74">
        <f>J51/J10</f>
        <v>0.26801506955510573</v>
      </c>
      <c r="L51" s="72">
        <f>L44-L49</f>
        <v>340941.71025</v>
      </c>
      <c r="M51" s="75">
        <f>L51/L10</f>
        <v>0.27969024567318634</v>
      </c>
      <c r="N51" s="72">
        <f>N44-N49</f>
        <v>367184.93636250001</v>
      </c>
      <c r="O51" s="75">
        <f>N51/N10</f>
        <v>0.28687502590682684</v>
      </c>
    </row>
    <row r="52" spans="1:15" s="3" customFormat="1" ht="15" thickTop="1" x14ac:dyDescent="0.35">
      <c r="B52" s="35"/>
      <c r="C52" s="36"/>
      <c r="D52" s="45"/>
      <c r="E52" s="51"/>
      <c r="F52" s="87"/>
      <c r="G52" s="88"/>
      <c r="H52" s="66"/>
      <c r="I52" s="71"/>
      <c r="J52" s="73"/>
      <c r="K52" s="76"/>
      <c r="L52" s="73"/>
      <c r="M52" s="77"/>
      <c r="N52" s="73"/>
      <c r="O52" s="77"/>
    </row>
    <row r="53" spans="1:15" x14ac:dyDescent="0.35">
      <c r="A53" t="s">
        <v>41</v>
      </c>
      <c r="B53" s="28"/>
      <c r="C53" s="27"/>
      <c r="D53" s="41"/>
      <c r="E53" s="47"/>
      <c r="F53" s="80"/>
      <c r="G53" s="79"/>
      <c r="H53" s="62">
        <v>0</v>
      </c>
      <c r="I53" s="67"/>
      <c r="J53" s="55">
        <v>42000</v>
      </c>
      <c r="K53" s="92">
        <f>J53/J10</f>
        <v>3.6177268616219477E-2</v>
      </c>
      <c r="L53" s="55">
        <v>84000</v>
      </c>
      <c r="M53" s="92">
        <f>L53/L10</f>
        <v>6.8909083078513289E-2</v>
      </c>
      <c r="N53" s="55">
        <v>84000</v>
      </c>
      <c r="O53" s="92">
        <f>N53/N10</f>
        <v>6.5627698170012655E-2</v>
      </c>
    </row>
    <row r="54" spans="1:15" x14ac:dyDescent="0.35">
      <c r="A54" t="s">
        <v>83</v>
      </c>
      <c r="B54" s="31">
        <v>0</v>
      </c>
      <c r="C54" s="30" t="e">
        <f>B54/B16</f>
        <v>#DIV/0!</v>
      </c>
      <c r="D54" s="42">
        <v>0</v>
      </c>
      <c r="E54" s="48" t="e">
        <f>D54/D16</f>
        <v>#DIV/0!</v>
      </c>
      <c r="F54" s="81">
        <v>0</v>
      </c>
      <c r="G54" s="82"/>
      <c r="H54" s="63"/>
      <c r="I54" s="68"/>
      <c r="J54" s="52">
        <f>0.12*J10</f>
        <v>139314</v>
      </c>
      <c r="K54" s="54">
        <f>J54/J10</f>
        <v>0.12</v>
      </c>
      <c r="L54" s="52">
        <f>0.12*L10</f>
        <v>146279.69999999998</v>
      </c>
      <c r="M54" s="54">
        <f>L54/L10</f>
        <v>0.11999999999999998</v>
      </c>
      <c r="N54" s="52">
        <f>0.12*N10</f>
        <v>153593.685</v>
      </c>
      <c r="O54" s="54">
        <f>N54/N10</f>
        <v>0.12</v>
      </c>
    </row>
    <row r="55" spans="1:15" x14ac:dyDescent="0.35">
      <c r="B55" s="128"/>
      <c r="C55" s="129"/>
      <c r="D55" s="130"/>
      <c r="E55" s="131"/>
      <c r="F55" s="132"/>
      <c r="G55" s="133"/>
      <c r="H55" s="134"/>
      <c r="I55" s="135"/>
      <c r="J55" s="136"/>
      <c r="K55" s="92"/>
      <c r="L55" s="136"/>
      <c r="M55" s="92"/>
      <c r="N55" s="136"/>
      <c r="O55" s="92"/>
    </row>
    <row r="56" spans="1:15" s="3" customFormat="1" ht="15" thickBot="1" x14ac:dyDescent="0.4">
      <c r="A56" s="3" t="s">
        <v>18</v>
      </c>
      <c r="B56" s="33">
        <f>B48-B51</f>
        <v>2010</v>
      </c>
      <c r="C56" s="34">
        <f>B56/B15</f>
        <v>4.4099062730368239E-3</v>
      </c>
      <c r="D56" s="44">
        <f>D48-D51</f>
        <v>19275</v>
      </c>
      <c r="E56" s="50">
        <f>D56/D15</f>
        <v>3.9679680503947379E-2</v>
      </c>
      <c r="F56" s="85">
        <f>F51-F53-F54</f>
        <v>168664</v>
      </c>
      <c r="G56" s="86">
        <f>F56/F15</f>
        <v>0.22249719675483148</v>
      </c>
      <c r="H56" s="65">
        <f>H51-H53-H54</f>
        <v>176261.6</v>
      </c>
      <c r="I56" s="70">
        <f>H56/H15</f>
        <v>0.21388753380926342</v>
      </c>
      <c r="J56" s="72">
        <f>J51-J53-J54</f>
        <v>129838.09500000003</v>
      </c>
      <c r="K56" s="74">
        <f>J56/J15</f>
        <v>0.15976828705555182</v>
      </c>
      <c r="L56" s="72">
        <f>L51-L53-L54</f>
        <v>110662.01025000002</v>
      </c>
      <c r="M56" s="75">
        <f>L56/L15</f>
        <v>0.12968737513524728</v>
      </c>
      <c r="N56" s="72">
        <f>N51-N53-N54</f>
        <v>129591.25136250001</v>
      </c>
      <c r="O56" s="75">
        <f>N56/N15</f>
        <v>0.14463903962402025</v>
      </c>
    </row>
    <row r="57" spans="1:15" s="3" customFormat="1" ht="15" thickTop="1" x14ac:dyDescent="0.35">
      <c r="B57" s="35"/>
      <c r="C57" s="36"/>
      <c r="D57" s="45"/>
      <c r="E57" s="51"/>
      <c r="F57" s="87"/>
      <c r="G57" s="88"/>
      <c r="H57" s="66"/>
      <c r="I57" s="71"/>
      <c r="J57" s="73"/>
      <c r="K57" s="76"/>
      <c r="L57" s="73"/>
      <c r="M57" s="77"/>
      <c r="N57" s="73"/>
      <c r="O57" s="77"/>
    </row>
    <row r="58" spans="1:15" s="3" customFormat="1" x14ac:dyDescent="0.35">
      <c r="A58" s="3" t="s">
        <v>51</v>
      </c>
      <c r="B58" s="35"/>
      <c r="C58" s="36"/>
      <c r="D58" s="45"/>
      <c r="E58" s="51"/>
      <c r="F58" s="87"/>
      <c r="G58" s="88"/>
      <c r="H58" s="66"/>
      <c r="I58" s="71"/>
      <c r="J58" s="73"/>
      <c r="K58" s="76"/>
      <c r="L58" s="73"/>
      <c r="M58" s="77"/>
      <c r="N58" s="73"/>
      <c r="O58" s="77"/>
    </row>
    <row r="59" spans="1:15" s="3" customFormat="1" x14ac:dyDescent="0.35">
      <c r="A59" s="3" t="s">
        <v>61</v>
      </c>
      <c r="B59" s="35"/>
      <c r="C59" s="36"/>
      <c r="D59" s="45"/>
      <c r="E59" s="51"/>
      <c r="F59" s="87">
        <f>F47</f>
        <v>18672</v>
      </c>
      <c r="G59" s="88"/>
      <c r="H59" s="66">
        <f>H47</f>
        <v>17738.399999999998</v>
      </c>
      <c r="I59" s="71"/>
      <c r="J59" s="73">
        <f>J47</f>
        <v>16851.479999999996</v>
      </c>
      <c r="K59" s="76"/>
      <c r="L59" s="73">
        <f>L47</f>
        <v>16008.905999999995</v>
      </c>
      <c r="M59" s="77"/>
      <c r="N59" s="73">
        <f>N47</f>
        <v>15208.460699999994</v>
      </c>
      <c r="O59" s="77"/>
    </row>
    <row r="60" spans="1:15" s="3" customFormat="1" x14ac:dyDescent="0.35">
      <c r="A60" s="3" t="s">
        <v>49</v>
      </c>
      <c r="B60" s="35"/>
      <c r="C60" s="36"/>
      <c r="D60" s="45"/>
      <c r="E60" s="51"/>
      <c r="F60" s="87">
        <v>0</v>
      </c>
      <c r="G60" s="88"/>
      <c r="H60" s="66">
        <v>0</v>
      </c>
      <c r="I60" s="71"/>
      <c r="J60" s="73">
        <v>125662.8</v>
      </c>
      <c r="K60" s="76"/>
      <c r="L60" s="73">
        <v>125662.8</v>
      </c>
      <c r="M60" s="77"/>
      <c r="N60" s="73">
        <v>125662.8</v>
      </c>
      <c r="O60" s="77"/>
    </row>
    <row r="61" spans="1:15" s="3" customFormat="1" x14ac:dyDescent="0.35">
      <c r="A61" s="3" t="s">
        <v>50</v>
      </c>
      <c r="B61" s="35"/>
      <c r="C61" s="36"/>
      <c r="D61" s="45"/>
      <c r="E61" s="51"/>
      <c r="F61" s="87">
        <v>0</v>
      </c>
      <c r="G61" s="88"/>
      <c r="H61" s="66">
        <v>0</v>
      </c>
      <c r="I61" s="71"/>
      <c r="J61" s="73">
        <f>J29</f>
        <v>27926</v>
      </c>
      <c r="K61" s="76"/>
      <c r="L61" s="73">
        <f>L29</f>
        <v>24115</v>
      </c>
      <c r="M61" s="77"/>
      <c r="N61" s="73">
        <f>N29</f>
        <v>20118</v>
      </c>
      <c r="O61" s="77"/>
    </row>
    <row r="62" spans="1:15" s="3" customFormat="1" x14ac:dyDescent="0.35">
      <c r="A62" s="3" t="s">
        <v>62</v>
      </c>
      <c r="B62" s="35"/>
      <c r="C62" s="36"/>
      <c r="D62" s="45"/>
      <c r="E62" s="51"/>
      <c r="F62" s="87">
        <v>0</v>
      </c>
      <c r="G62" s="88"/>
      <c r="H62" s="66"/>
      <c r="I62" s="71"/>
      <c r="J62" s="73"/>
      <c r="K62" s="76"/>
      <c r="L62" s="73"/>
      <c r="M62" s="77"/>
      <c r="N62" s="73"/>
      <c r="O62" s="77"/>
    </row>
    <row r="63" spans="1:15" s="3" customFormat="1" ht="29" x14ac:dyDescent="0.35">
      <c r="A63" s="111" t="s">
        <v>52</v>
      </c>
      <c r="B63" s="35"/>
      <c r="C63" s="36"/>
      <c r="D63" s="45"/>
      <c r="E63" s="51"/>
      <c r="F63" s="112">
        <v>0</v>
      </c>
      <c r="G63" s="124"/>
      <c r="H63" s="122"/>
      <c r="I63" s="123"/>
      <c r="J63" s="106">
        <v>0</v>
      </c>
      <c r="K63" s="125"/>
      <c r="L63" s="106">
        <v>0</v>
      </c>
      <c r="M63" s="126"/>
      <c r="N63" s="106">
        <v>0</v>
      </c>
      <c r="O63" s="77"/>
    </row>
    <row r="64" spans="1:15" s="3" customFormat="1" x14ac:dyDescent="0.35">
      <c r="B64" s="35"/>
      <c r="C64" s="36"/>
      <c r="D64" s="45"/>
      <c r="E64" s="51"/>
      <c r="F64" s="87"/>
      <c r="G64" s="88"/>
      <c r="H64" s="66"/>
      <c r="I64" s="71"/>
      <c r="J64" s="73"/>
      <c r="K64" s="76"/>
      <c r="L64" s="73"/>
      <c r="M64" s="77"/>
      <c r="N64" s="73"/>
      <c r="O64" s="77"/>
    </row>
    <row r="65" spans="1:15" s="3" customFormat="1" x14ac:dyDescent="0.35">
      <c r="A65" s="3" t="s">
        <v>53</v>
      </c>
      <c r="B65" s="35"/>
      <c r="C65" s="36"/>
      <c r="D65" s="45"/>
      <c r="E65" s="51"/>
      <c r="F65" s="87">
        <f>F59+F51-F60+F61-F63+F62</f>
        <v>187336</v>
      </c>
      <c r="G65" s="88"/>
      <c r="H65" s="66">
        <f>H56+H59-H60+H61+H62+H63</f>
        <v>194000</v>
      </c>
      <c r="I65" s="71"/>
      <c r="J65" s="73">
        <f>J56+J59-J60+J61+J62+J63</f>
        <v>48952.775000000009</v>
      </c>
      <c r="K65" s="76"/>
      <c r="L65" s="73">
        <f>L56+L59-L60+L61+L62+L63</f>
        <v>25123.116250000006</v>
      </c>
      <c r="M65" s="73"/>
      <c r="N65" s="73">
        <f>N56+N59-N60+N61+N62+N63</f>
        <v>39254.912062500007</v>
      </c>
      <c r="O65" s="77"/>
    </row>
    <row r="66" spans="1:15" x14ac:dyDescent="0.35">
      <c r="O66" s="10"/>
    </row>
    <row r="67" spans="1:15" x14ac:dyDescent="0.35">
      <c r="A67" s="3" t="s">
        <v>76</v>
      </c>
    </row>
    <row r="68" spans="1:15" x14ac:dyDescent="0.35">
      <c r="A68" s="3" t="s">
        <v>45</v>
      </c>
    </row>
    <row r="69" spans="1:15" x14ac:dyDescent="0.35">
      <c r="A69" s="108" t="s">
        <v>46</v>
      </c>
      <c r="B69" s="2"/>
      <c r="C69"/>
      <c r="D69" s="2"/>
      <c r="E69"/>
      <c r="F69" s="109"/>
      <c r="G69" s="127"/>
      <c r="H69" s="2"/>
      <c r="I69"/>
      <c r="J69" s="13"/>
      <c r="K69"/>
      <c r="L69" s="10"/>
      <c r="M69"/>
    </row>
    <row r="70" spans="1:15" x14ac:dyDescent="0.35">
      <c r="B70" s="1"/>
    </row>
    <row r="71" spans="1:15" x14ac:dyDescent="0.35">
      <c r="B71" s="1"/>
    </row>
    <row r="72" spans="1:15" x14ac:dyDescent="0.35">
      <c r="B72" s="1"/>
      <c r="C72" s="15"/>
    </row>
    <row r="75" spans="1:15" x14ac:dyDescent="0.35">
      <c r="A75" s="2"/>
    </row>
    <row r="76" spans="1:15" x14ac:dyDescent="0.35">
      <c r="A76" s="2"/>
    </row>
    <row r="77" spans="1:15" x14ac:dyDescent="0.35">
      <c r="A77" s="2"/>
    </row>
  </sheetData>
  <mergeCells count="1">
    <mergeCell ref="H8:I8"/>
  </mergeCells>
  <pageMargins left="0.17" right="0.2" top="0.65" bottom="0.44" header="0.3" footer="0.3"/>
  <pageSetup orientation="landscape" r:id="rId1"/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STMT PROJECTIONS</vt:lpstr>
      <vt:lpstr>Balance Sheet</vt:lpstr>
      <vt:lpstr>with mgmt fee and tw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Wilde</dc:creator>
  <cp:lastModifiedBy>Scott</cp:lastModifiedBy>
  <cp:lastPrinted>2015-05-19T22:21:39Z</cp:lastPrinted>
  <dcterms:created xsi:type="dcterms:W3CDTF">2011-01-25T20:59:40Z</dcterms:created>
  <dcterms:modified xsi:type="dcterms:W3CDTF">2023-03-14T03:51:46Z</dcterms:modified>
</cp:coreProperties>
</file>